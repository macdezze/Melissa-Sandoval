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176b5a8a1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" sheetId="1" r:id="Rab91a24e25514869"/>
    <x:sheet xmlns:r="http://schemas.openxmlformats.org/officeDocument/2006/relationships" name="Datos_Brutos" sheetId="2" r:id="R51c1cd6f6c1148f6"/>
    <x:sheet xmlns:r="http://schemas.openxmlformats.org/officeDocument/2006/relationships" name="Datos_Limpios" sheetId="3" r:id="Rd0a8f50def3845b5"/>
    <x:sheet xmlns:r="http://schemas.openxmlformats.org/officeDocument/2006/relationships" name="Analisis" sheetId="4" r:id="R607c818f45094bf2"/>
    <x:sheet xmlns:r="http://schemas.openxmlformats.org/officeDocument/2006/relationships" name="Dashboard" sheetId="5" r:id="R0478f82e3eff4329"/>
    <x:sheet xmlns:r="http://schemas.openxmlformats.org/officeDocument/2006/relationships" name="Listas" sheetId="6" r:id="R6af21d412464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-yyyy"/>
    <x:numFmt numFmtId="201" formatCode="$#,##0"/>
    <x:numFmt numFmtId="202" formatCode="0%"/>
    <x:numFmt numFmtId="203" formatCode="0.0%"/>
    <x:numFmt numFmtId="204" formatCode="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3730A3"/>
      <x:name val="Carlito"/>
    </x:font>
    <x:font>
      <x:b/>
      <x:sz val="11"/>
      <x:color rgb="FF4F46E5"/>
      <x:name val="Carlito"/>
    </x:font>
    <x:font>
      <x:b/>
      <x:sz val="20"/>
      <x:color rgb="FFFFFFFF"/>
      <x:name val="Carlito"/>
    </x:font>
    <x:font>
      <x:b/>
      <x:sz val="11"/>
      <x:color rgb="FF4338CA"/>
      <x:name val="Carlito"/>
    </x:font>
    <x:font>
      <x:b/>
      <x:sz val="18"/>
      <x:color rgb="FF111827"/>
      <x:name val="Carlito"/>
    </x:font>
    <x:font>
      <x:sz val="10"/>
      <x:color rgb="FF4B556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 applyAlignment="1">
      <x:alignment horizontal="left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201" fontId="7" fillId="6" borderId="0" xfId="0" applyNumberFormat="1" applyFont="1" applyFill="1" applyBorder="1" applyAlignment="1">
      <x:alignment horizontal="center" vertical="center"/>
    </x:xf>
    <x:xf numFmtId="201" fontId="7" fillId="6" borderId="1" xfId="0" applyNumberFormat="1" applyFont="1" applyFill="1" applyBorder="1" applyAlignment="1">
      <x:alignment horizontal="center" vertical="center"/>
    </x:xf>
    <x:xf numFmtId="204" fontId="7" fillId="6" borderId="0" xfId="0" applyNumberFormat="1" applyFont="1" applyFill="1" applyBorder="1" applyAlignment="1">
      <x:alignment horizontal="center" vertical="center"/>
    </x:xf>
    <x:xf numFmtId="204" fontId="7" fillId="6" borderId="1" xfId="0" applyNumberFormat="1" applyFont="1" applyFill="1" applyBorder="1" applyAlignment="1">
      <x:alignment horizontal="center" vertical="center"/>
    </x:xf>
    <x:xf numFmtId="203" fontId="7" fillId="6" borderId="0" xfId="0" applyNumberFormat="1" applyFont="1" applyFill="1" applyBorder="1" applyAlignment="1">
      <x:alignment horizontal="center" vertical="center"/>
    </x:xf>
    <x:xf numFmtId="203" fontId="7" fillId="6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e319eb3bc403a" /><Relationship Type="http://schemas.openxmlformats.org/officeDocument/2006/relationships/theme" Target="/xl/theme/theme1.xml" Id="R37c963baf98b4fd9" /><Relationship Type="http://schemas.openxmlformats.org/officeDocument/2006/relationships/sharedStrings" Target="/xl/sharedStrings.xml" Id="Rd2e8adfa987a49c3" /><Relationship Type="http://schemas.openxmlformats.org/officeDocument/2006/relationships/worksheet" Target="/xl/worksheets/sheet1.xml" Id="Rab91a24e25514869" /><Relationship Type="http://schemas.openxmlformats.org/officeDocument/2006/relationships/worksheet" Target="/xl/worksheets/sheet2.xml" Id="R51c1cd6f6c1148f6" /><Relationship Type="http://schemas.openxmlformats.org/officeDocument/2006/relationships/worksheet" Target="/xl/worksheets/sheet3.xml" Id="Rd0a8f50def3845b5" /><Relationship Type="http://schemas.openxmlformats.org/officeDocument/2006/relationships/worksheet" Target="/xl/worksheets/sheet4.xml" Id="R607c818f45094bf2" /><Relationship Type="http://schemas.openxmlformats.org/officeDocument/2006/relationships/worksheet" Target="/xl/worksheets/sheet5.xml" Id="R0478f82e3eff4329" /><Relationship Type="http://schemas.openxmlformats.org/officeDocument/2006/relationships/worksheet" Target="/xl/worksheets/sheet6.xml" Id="R6af21d41246449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561a3783544468" /><Relationship Type="http://schemas.openxmlformats.org/officeDocument/2006/relationships/chart" Target="/xl/drawings/charts/chart2.xml" Id="R404f3bcc55bd4004" /><Relationship Type="http://schemas.openxmlformats.org/officeDocument/2006/relationships/chart" Target="/xl/drawings/charts/chart3.xml" Id="R61b46d09fa764988" /><Relationship Type="http://schemas.openxmlformats.org/officeDocument/2006/relationships/chart" Target="/xl/drawings/charts/chart4.xml" Id="R0d93b91080014a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netas por mes</a:t>
            </a:r>
          </a:p>
        </c:rich>
      </c:tx>
    </c:title>
    <c:plotArea>
      <c:lineChart>
        <c:grouping val="standard"/>
        <c:ser>
          <c:idx val="0"/>
          <c:order val="0"/>
          <c:tx>
            <c:v>Ventas Netas</c:v>
          </c:tx>
          <c:marker>
            <c:symbol val="none"/>
          </c:marker>
          <c:cat>
            <c:strRef>
              <c:f>'Analisis'!$A$2:$A$9</c:f>
              <c:strCache>
                <c:ptCount val="0"/>
              </c:strCache>
            </c:strRef>
          </c:cat>
          <c:val>
            <c:numRef>
              <c:f>'Analisis'!$B$2:$B$9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por categoría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Ventas Netas</c:v>
          </c:tx>
          <c:cat>
            <c:strRef>
              <c:f>'Analisis'!$J$2:$J$5</c:f>
              <c:strCache>
                <c:ptCount val="0"/>
              </c:strCache>
            </c:strRef>
          </c:cat>
          <c:val>
            <c:numRef>
              <c:f>'Analisis'!$K$2:$K$5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y utilidad por canal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Ventas Netas</c:v>
          </c:tx>
          <c:cat>
            <c:strRef>
              <c:f>'Analisis'!$P$2:$P$4</c:f>
              <c:strCache>
                <c:ptCount val="0"/>
              </c:strCache>
            </c:strRef>
          </c:cat>
          <c:val>
            <c:numRef>
              <c:f>'Analisis'!$Q$2:$Q$4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Utilidad</c:v>
          </c:tx>
          <c:cat>
            <c:strRef>
              <c:f>'Analisis'!$P$2:$P$4</c:f>
              <c:strCache>
                <c:ptCount val="0"/>
              </c:strCache>
            </c:strRef>
          </c:cat>
          <c:val>
            <c:numRef>
              <c:f>'Analisis'!$R$2:$R$4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por región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Ventas Netas</c:v>
          </c:tx>
          <c:cat>
            <c:strRef>
              <c:f>'Analisis'!$J$9:$J$12</c:f>
              <c:strCache>
                <c:ptCount val="0"/>
              </c:strCache>
            </c:strRef>
          </c:cat>
          <c:val>
            <c:numRef>
              <c:f>'Analisis'!$K$9:$K$12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561a3783544468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4f3bcc55bd4004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b46d09fa764988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93b91080014ac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SalesTable" displayName="RawSalesTable" ref="A1:L181" headerRowCount="1" totalsRowCount="0" totalsRowShown="0">
  <x:tableColumns count="12">
    <x:tableColumn id="1" name="ID Pedido"/>
    <x:tableColumn id="2" name="Fecha"/>
    <x:tableColumn id="3" name="Cliente"/>
    <x:tableColumn id="4" name="Producto"/>
    <x:tableColumn id="5" name="Categoría"/>
    <x:tableColumn id="6" name="Región (original)"/>
    <x:tableColumn id="7" name="Canal (original)"/>
    <x:tableColumn id="8" name="Cantidad"/>
    <x:tableColumn id="9" name="Precio Unitario"/>
    <x:tableColumn id="10" name="Costo Unitario"/>
    <x:tableColumn id="11" name="Descuento"/>
    <x:tableColumn id="12" name="Estado (original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SalesTable" displayName="CleanSalesTable" ref="A1:R181" headerRowCount="1" totalsRowCount="0" totalsRowShown="0">
  <x:tableColumns count="18">
    <x:tableColumn id="1" name="ID Pedido"/>
    <x:tableColumn id="2" name="Fecha"/>
    <x:tableColumn id="3" name="Mes"/>
    <x:tableColumn id="4" name="Cliente"/>
    <x:tableColumn id="5" name="Producto"/>
    <x:tableColumn id="6" name="Categoría"/>
    <x:tableColumn id="7" name="Región"/>
    <x:tableColumn id="8" name="Canal"/>
    <x:tableColumn id="9" name="Cantidad"/>
    <x:tableColumn id="10" name="Precio Unitario"/>
    <x:tableColumn id="11" name="Costo Unitario"/>
    <x:tableColumn id="12" name="Descuento"/>
    <x:tableColumn id="13" name="Estado"/>
    <x:tableColumn id="14" name="Venta Bruta"/>
    <x:tableColumn id="15" name="Venta Neta"/>
    <x:tableColumn id="16" name="Costo Total"/>
    <x:tableColumn id="17" name="Utilidad"/>
    <x:tableColumn id="18" name="Marge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AnalysisTable" displayName="MonthlyAnalysisTable" ref="A1:H9" headerRowCount="1" totalsRowCount="0" totalsRowShown="0">
  <x:tableColumns count="8">
    <x:tableColumn id="1" name="Mes"/>
    <x:tableColumn id="2" name="Ventas Netas"/>
    <x:tableColumn id="3" name="Utilidad"/>
    <x:tableColumn id="4" name="Pedidos Completados"/>
    <x:tableColumn id="5" name="Ticket Promedio"/>
    <x:tableColumn id="6" name="Unidades"/>
    <x:tableColumn id="7" name="Margen %"/>
    <x:tableColumn id="8" name="% Ven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AnalysisTable" displayName="CategoryAnalysisTable" ref="J1:N5" headerRowCount="1" totalsRowCount="0" totalsRowShown="0">
  <x:tableColumns count="5">
    <x:tableColumn id="1" name="Categoría"/>
    <x:tableColumn id="2" name="Ventas Netas"/>
    <x:tableColumn id="3" name="Utilidad"/>
    <x:tableColumn id="4" name="Unidades"/>
    <x:tableColumn id="5" name="Margen %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nelAnalysisTable" displayName="ChannelAnalysisTable" ref="P1:T4" headerRowCount="1" totalsRowCount="0" totalsRowShown="0">
  <x:tableColumns count="5">
    <x:tableColumn id="1" name="Canal"/>
    <x:tableColumn id="2" name="Ventas Netas"/>
    <x:tableColumn id="3" name="Utilidad"/>
    <x:tableColumn id="4" name="Pedidos"/>
    <x:tableColumn id="5" name="Margen %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gionAnalysisTable" displayName="RegionAnalysisTable" ref="J8:N12" headerRowCount="1" totalsRowCount="0" totalsRowShown="0">
  <x:tableColumns count="5">
    <x:tableColumn id="1" name="Región"/>
    <x:tableColumn id="2" name="Ventas Netas"/>
    <x:tableColumn id="3" name="Utilidad"/>
    <x:tableColumn id="4" name="Pedidos"/>
    <x:tableColumn id="5" name="Ticket Promed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fb86bf5cf04e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020f99153f4e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3c051a1d52477f" /><Relationship Type="http://schemas.openxmlformats.org/officeDocument/2006/relationships/table" Target="/xl/tables/table4.xml" Id="Rbf9584a3f93d4fc7" /><Relationship Type="http://schemas.openxmlformats.org/officeDocument/2006/relationships/table" Target="/xl/tables/table5.xml" Id="R281711adbd894fdf" /><Relationship Type="http://schemas.openxmlformats.org/officeDocument/2006/relationships/table" Target="/xl/tables/table6.xml" Id="R4b1f6d1d3e6f4c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ebcc4761bd6484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31" t="str">
        <x:v>PROYECTO 6 · ORGANIZACIÓN Y ANÁLISIS DE DATOS</x:v>
      </x:c>
      <x:c r="B1" s="31"/>
      <x:c r="C1" s="31"/>
      <x:c r="D1" s="31"/>
      <x:c r="E1" s="31"/>
      <x:c r="F1" s="31"/>
      <x:c r="G1" s="31"/>
      <x:c r="H1" s="31"/>
    </x:row>
    <x:row r="2" ht="24" customHeight="1">
      <x:c r="A2" s="31"/>
      <x:c r="B2" s="31"/>
      <x:c r="C2" s="31"/>
      <x:c r="D2" s="31"/>
      <x:c r="E2" s="31"/>
      <x:c r="F2" s="31"/>
      <x:c r="G2" s="31"/>
      <x:c r="H2" s="31"/>
    </x:row>
    <x:row r="3" ht="24" customHeight="1"/>
    <x:row r="4" ht="24" customHeight="1">
      <x:c r="A4" s="41" t="str">
        <x:v>Tipo de proyecto</x:v>
      </x:c>
      <x:c r="B4" t="str">
        <x:v>Caso demostrativo</x:v>
      </x:c>
    </x:row>
    <x:row r="5" ht="24" customHeight="1">
      <x:c r="A5" s="41" t="str">
        <x:v>Empresa ficticia</x:v>
      </x:c>
      <x:c r="B5" t="str">
        <x:v>Nova Market</x:v>
      </x:c>
    </x:row>
    <x:row r="6" ht="24" customHeight="1">
      <x:c r="A6" s="41" t="str">
        <x:v>Registros analizados</x:v>
      </x:c>
      <x:c r="B6" t="n">
        <x:v>180</x:v>
      </x:c>
    </x:row>
    <x:row r="7" ht="24" customHeight="1">
      <x:c r="A7" s="41" t="str">
        <x:v>Periodo</x:v>
      </x:c>
      <x:c r="B7" t="str">
        <x:v>Enero–Agosto 2026</x:v>
      </x:c>
    </x:row>
    <x:row r="8" ht="24" customHeight="1">
      <x:c r="A8" s="41" t="str">
        <x:v>Herramienta</x:v>
      </x:c>
      <x:c r="B8" t="str">
        <x:v>Microsoft Excel</x:v>
      </x:c>
    </x:row>
    <x:row r="9" ht="24" customHeight="1">
      <x:c r="A9" s="41" t="str">
        <x:v>Objetivo</x:v>
      </x:c>
      <x:c r="B9" t="str">
        <x:v>Limpiar, organizar, analizar y visualizar ventas</x:v>
      </x:c>
    </x:row>
    <x:row r="10" ht="24" customHeight="1"/>
    <x:row r="11" ht="24" customHeight="1">
      <x:c r="A11" s="37" t="str">
        <x:v>DESAFÍO</x:v>
      </x:c>
      <x:c r="B11" s="37"/>
      <x:c r="C11" s="37"/>
      <x:c r="D11" s="37"/>
      <x:c r="E11" s="37"/>
      <x:c r="F11" s="37"/>
      <x:c r="G11" s="37"/>
      <x:c r="H11" s="37"/>
    </x:row>
    <x:row r="12" ht="24" customHeight="1">
      <x:c r="A12" s="44" t="str">
        <x:v>La base original contenía nombres inconsistentes para regiones, canales y estados. El trabajo consistió en estandarizar esos campos, calcular métricas comerciales y construir un sistema de análisis que permitiera detectar patrones rápidamente.</x:v>
      </x:c>
      <x:c r="B12" s="44"/>
      <x:c r="C12" s="44"/>
      <x:c r="D12" s="44"/>
      <x:c r="E12" s="44"/>
      <x:c r="F12" s="44"/>
      <x:c r="G12" s="44"/>
      <x:c r="H12" s="44"/>
    </x:row>
    <x:row r="13" ht="24" customHeight="1">
      <x:c r="A13" s="44"/>
      <x:c r="B13" s="44"/>
      <x:c r="C13" s="44"/>
      <x:c r="D13" s="44"/>
      <x:c r="E13" s="44"/>
      <x:c r="F13" s="44"/>
      <x:c r="G13" s="44"/>
      <x:c r="H13" s="44"/>
    </x:row>
    <x:row r="14" ht="24" customHeight="1">
      <x:c r="A14" s="44"/>
      <x:c r="B14" s="44"/>
      <x:c r="C14" s="44"/>
      <x:c r="D14" s="44"/>
      <x:c r="E14" s="44"/>
      <x:c r="F14" s="44"/>
      <x:c r="G14" s="44"/>
      <x:c r="H14" s="44"/>
    </x:row>
    <x:row r="15" ht="24" customHeight="1"/>
    <x:row r="16" ht="24" customHeight="1">
      <x:c r="A16" s="37" t="str">
        <x:v>TRABAJO REALIZADO</x:v>
      </x:c>
      <x:c r="B16" s="37"/>
      <x:c r="C16" s="37"/>
      <x:c r="D16" s="37"/>
      <x:c r="E16" s="37"/>
      <x:c r="F16" s="37"/>
      <x:c r="G16" s="37"/>
      <x:c r="H16" s="37"/>
    </x:row>
    <x:row r="17" ht="24" customHeight="1">
      <x:c r="A17" s="47" t="str">
        <x:v>01</x:v>
      </x:c>
      <x:c r="B17" t="str">
        <x:v>Carga y organización de 180 registros</x:v>
      </x:c>
    </x:row>
    <x:row r="18" ht="24" customHeight="1">
      <x:c r="A18" s="47" t="str">
        <x:v>02</x:v>
      </x:c>
      <x:c r="B18" t="str">
        <x:v>Estandarización de regiones, canales y estados</x:v>
      </x:c>
    </x:row>
    <x:row r="19" ht="24" customHeight="1">
      <x:c r="A19" s="47" t="str">
        <x:v>03</x:v>
      </x:c>
      <x:c r="B19" t="str">
        <x:v>Cálculo de venta bruta, venta neta, costo, utilidad y margen</x:v>
      </x:c>
    </x:row>
    <x:row r="20" ht="24" customHeight="1">
      <x:c r="A20" s="47" t="str">
        <x:v>04</x:v>
      </x:c>
      <x:c r="B20" t="str">
        <x:v>Análisis por mes, categoría, canal y región</x:v>
      </x:c>
    </x:row>
    <x:row r="21" ht="24" customHeight="1">
      <x:c r="A21" s="47" t="str">
        <x:v>05</x:v>
      </x:c>
      <x:c r="B21" t="str">
        <x:v>Creación de KPIs y visualizaciones</x:v>
      </x:c>
    </x:row>
    <x:row r="22" ht="24" customHeight="1">
      <x:c r="A22" s="47" t="str">
        <x:v>06</x:v>
      </x:c>
      <x:c r="B22" t="str">
        <x:v>Dashboard final para toma de decisiones</x:v>
      </x:c>
    </x:row>
    <x:row r="23" ht="24" customHeight="1"/>
    <x:row r="24" ht="24" customHeight="1">
      <x:c r="A24" s="37" t="str">
        <x:v>HABILIDADES DEMOSTRADAS</x:v>
      </x:c>
      <x:c r="B24" s="37"/>
      <x:c r="C24" s="37"/>
      <x:c r="D24" s="37"/>
      <x:c r="E24" s="37"/>
      <x:c r="F24" s="37"/>
      <x:c r="G24" s="37"/>
      <x:c r="H24" s="37"/>
    </x:row>
    <x:row r="25" ht="24" customHeight="1">
      <x:c r="A25" s="44" t="str">
        <x:v>Excel · Data Entry · Limpieza de datos · Fórmulas · SUMIFS · COUNTIFS · VLOOKUP · Organización de información · KPIs · Análisis de ventas · Visualización de datos</x:v>
      </x:c>
      <x:c r="B25" s="44"/>
      <x:c r="C25" s="44"/>
      <x:c r="D25" s="44"/>
      <x:c r="E25" s="44"/>
      <x:c r="F25" s="44"/>
      <x:c r="G25" s="44"/>
      <x:c r="H25" s="44"/>
    </x:row>
    <x:row r="26" ht="24" customHeight="1">
      <x:c r="A26" s="44"/>
      <x:c r="B26" s="44"/>
      <x:c r="C26" s="44"/>
      <x:c r="D26" s="44"/>
      <x:c r="E26" s="44"/>
      <x:c r="F26" s="44"/>
      <x:c r="G26" s="44"/>
      <x:c r="H26" s="44"/>
    </x:row>
    <x:row r="27" ht="24" customHeight="1">
      <x:c r="A27" s="44"/>
      <x:c r="B27" s="44"/>
      <x:c r="C27" s="44"/>
      <x:c r="D27" s="44"/>
      <x:c r="E27" s="44"/>
      <x:c r="F27" s="44"/>
      <x:c r="G27" s="44"/>
      <x:c r="H27" s="44"/>
    </x:row>
  </x:sheetData>
  <x:mergeCells>
    <x:mergeCell ref="A1:H2"/>
    <x:mergeCell ref="A11:H11"/>
    <x:mergeCell ref="A12:H14"/>
    <x:mergeCell ref="A16:H16"/>
    <x:mergeCell ref="A24:H24"/>
    <x:mergeCell ref="A25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0" hidden="0" customWidth="1"/>
    <x:col min="5" max="5" width="14" hidden="0" customWidth="1"/>
    <x:col min="6" max="6" width="20" hidden="0" customWidth="1"/>
    <x:col min="7" max="7" width="18" hidden="0" customWidth="1"/>
    <x:col min="8" max="8" width="10" hidden="0" customWidth="1"/>
    <x:col min="9" max="9" width="15" hidden="0" customWidth="1"/>
    <x:col min="10" max="10" width="15" hidden="0" customWidth="1"/>
    <x:col min="11" max="11" width="11" hidden="0" customWidth="1"/>
    <x:col min="12" max="12" width="18" hidden="0" customWidth="1"/>
  </x:cols>
  <x:sheetData>
    <x:row r="1">
      <x:c r="A1" s="16" t="str">
        <x:v>ID Pedido</x:v>
      </x:c>
      <x:c r="B1" s="16" t="str">
        <x:v>Fecha</x:v>
      </x:c>
      <x:c r="C1" s="16" t="str">
        <x:v>Cliente</x:v>
      </x:c>
      <x:c r="D1" s="16" t="str">
        <x:v>Producto</x:v>
      </x:c>
      <x:c r="E1" s="16" t="str">
        <x:v>Categoría</x:v>
      </x:c>
      <x:c r="F1" s="16" t="str">
        <x:v>Región (original)</x:v>
      </x:c>
      <x:c r="G1" s="16" t="str">
        <x:v>Canal (original)</x:v>
      </x:c>
      <x:c r="H1" s="16" t="str">
        <x:v>Cantidad</x:v>
      </x:c>
      <x:c r="I1" s="16" t="str">
        <x:v>Precio Unitario</x:v>
      </x:c>
      <x:c r="J1" s="16" t="str">
        <x:v>Costo Unitario</x:v>
      </x:c>
      <x:c r="K1" s="16" t="str">
        <x:v>Descuento</x:v>
      </x:c>
      <x:c r="L1" s="16" t="str">
        <x:v>Estado (original)</x:v>
      </x:c>
    </x:row>
    <x:row r="2">
      <x:c r="A2" s="17" t="str">
        <x:v>V-0001</x:v>
      </x:c>
      <x:c r="B2" s="18" t="n">
        <x:v>46186</x:v>
      </x:c>
      <x:c r="C2" s="17" t="str">
        <x:v>Cliente 012</x:v>
      </x:c>
      <x:c r="D2" s="17" t="str">
        <x:v>Teclado</x:v>
      </x:c>
      <x:c r="E2" s="17" t="str">
        <x:v>Tecnología</x:v>
      </x:c>
      <x:c r="F2" s="17" t="str">
        <x:v>Biobio</x:v>
      </x:c>
      <x:c r="G2" s="17" t="str">
        <x:v>web</x:v>
      </x:c>
      <x:c r="H2" s="17" t="n">
        <x:v>1</x:v>
      </x:c>
      <x:c r="I2" s="19" t="n">
        <x:v>32990</x:v>
      </x:c>
      <x:c r="J2" s="19" t="n">
        <x:v>18500</x:v>
      </x:c>
      <x:c r="K2" s="20" t="n">
        <x:v>0.1</x:v>
      </x:c>
      <x:c r="L2" s="17" t="str">
        <x:v>OK</x:v>
      </x:c>
    </x:row>
    <x:row r="3">
      <x:c r="A3" s="17" t="str">
        <x:v>V-0002</x:v>
      </x:c>
      <x:c r="B3" s="18" t="n">
        <x:v>46174</x:v>
      </x:c>
      <x:c r="C3" s="17" t="str">
        <x:v>Cliente 070</x:v>
      </x:c>
      <x:c r="D3" s="17" t="str">
        <x:v>Polera básica</x:v>
      </x:c>
      <x:c r="E3" s="17" t="str">
        <x:v>Moda</x:v>
      </x:c>
      <x:c r="F3" s="17" t="str">
        <x:v>Metropolitana</x:v>
      </x:c>
      <x:c r="G3" s="17" t="str">
        <x:v>web</x:v>
      </x:c>
      <x:c r="H3" s="17" t="n">
        <x:v>1</x:v>
      </x:c>
      <x:c r="I3" s="19" t="n">
        <x:v>15990</x:v>
      </x:c>
      <x:c r="J3" s="19" t="n">
        <x:v>6800</x:v>
      </x:c>
      <x:c r="K3" s="20" t="n">
        <x:v>0.05</x:v>
      </x:c>
      <x:c r="L3" s="17" t="str">
        <x:v>Completado</x:v>
      </x:c>
    </x:row>
    <x:row r="4">
      <x:c r="A4" s="17" t="str">
        <x:v>V-0003</x:v>
      </x:c>
      <x:c r="B4" s="18" t="n">
        <x:v>46130</x:v>
      </x:c>
      <x:c r="C4" s="17" t="str">
        <x:v>Cliente 028</x:v>
      </x:c>
      <x:c r="D4" s="17" t="str">
        <x:v>Lámpara</x:v>
      </x:c>
      <x:c r="E4" s="17" t="str">
        <x:v>Hogar</x:v>
      </x:c>
      <x:c r="F4" s="17" t="str">
        <x:v>Biobio</x:v>
      </x:c>
      <x:c r="G4" s="17" t="str">
        <x:v>Instagram</x:v>
      </x:c>
      <x:c r="H4" s="17" t="n">
        <x:v>1</x:v>
      </x:c>
      <x:c r="I4" s="19" t="n">
        <x:v>21990</x:v>
      </x:c>
      <x:c r="J4" s="19" t="n">
        <x:v>11000</x:v>
      </x:c>
      <x:c r="K4" s="20" t="n">
        <x:v>0</x:v>
      </x:c>
      <x:c r="L4" s="17" t="str">
        <x:v>completado</x:v>
      </x:c>
    </x:row>
    <x:row r="5">
      <x:c r="A5" s="17" t="str">
        <x:v>V-0004</x:v>
      </x:c>
      <x:c r="B5" s="18" t="n">
        <x:v>46218</x:v>
      </x:c>
      <x:c r="C5" s="17" t="str">
        <x:v>Cliente 069</x:v>
      </x:c>
      <x:c r="D5" s="17" t="str">
        <x:v>Botella térmica</x:v>
      </x:c>
      <x:c r="E5" s="17" t="str">
        <x:v>Hogar</x:v>
      </x:c>
      <x:c r="F5" s="17" t="str">
        <x:v>Maule</x:v>
      </x:c>
      <x:c r="G5" s="17" t="str">
        <x:v>WEB</x:v>
      </x:c>
      <x:c r="H5" s="17" t="n">
        <x:v>1</x:v>
      </x:c>
      <x:c r="I5" s="19" t="n">
        <x:v>17990</x:v>
      </x:c>
      <x:c r="J5" s="19" t="n">
        <x:v>8300</x:v>
      </x:c>
      <x:c r="K5" s="20" t="n">
        <x:v>0.05</x:v>
      </x:c>
      <x:c r="L5" s="17" t="str">
        <x:v>Completado</x:v>
      </x:c>
    </x:row>
    <x:row r="6">
      <x:c r="A6" s="17" t="str">
        <x:v>V-0005</x:v>
      </x:c>
      <x:c r="B6" s="18" t="n">
        <x:v>46054</x:v>
      </x:c>
      <x:c r="C6" s="17" t="str">
        <x:v>Cliente 030</x:v>
      </x:c>
      <x:c r="D6" s="17" t="str">
        <x:v>Polera básica</x:v>
      </x:c>
      <x:c r="E6" s="17" t="str">
        <x:v>Moda</x:v>
      </x:c>
      <x:c r="F6" s="17" t="str">
        <x:v>VIII Region</x:v>
      </x:c>
      <x:c r="G6" s="17" t="str">
        <x:v>IG</x:v>
      </x:c>
      <x:c r="H6" s="17" t="n">
        <x:v>1</x:v>
      </x:c>
      <x:c r="I6" s="19" t="n">
        <x:v>15990</x:v>
      </x:c>
      <x:c r="J6" s="19" t="n">
        <x:v>6800</x:v>
      </x:c>
      <x:c r="K6" s="20" t="n">
        <x:v>0</x:v>
      </x:c>
      <x:c r="L6" s="17" t="str">
        <x:v>OK</x:v>
      </x:c>
    </x:row>
    <x:row r="7">
      <x:c r="A7" s="17" t="str">
        <x:v>V-0006</x:v>
      </x:c>
      <x:c r="B7" s="18" t="n">
        <x:v>46220</x:v>
      </x:c>
      <x:c r="C7" s="17" t="str">
        <x:v>Cliente 046</x:v>
      </x:c>
      <x:c r="D7" s="17" t="str">
        <x:v>Organizador</x:v>
      </x:c>
      <x:c r="E7" s="17" t="str">
        <x:v>Hogar</x:v>
      </x:c>
      <x:c r="F7" s="17" t="str">
        <x:v>Valparaiso</x:v>
      </x:c>
      <x:c r="G7" s="17" t="str">
        <x:v>WEB</x:v>
      </x:c>
      <x:c r="H7" s="17" t="n">
        <x:v>4</x:v>
      </x:c>
      <x:c r="I7" s="19" t="n">
        <x:v>14990</x:v>
      </x:c>
      <x:c r="J7" s="19" t="n">
        <x:v>7200</x:v>
      </x:c>
      <x:c r="K7" s="20" t="n">
        <x:v>0</x:v>
      </x:c>
      <x:c r="L7" s="17" t="str">
        <x:v>completado</x:v>
      </x:c>
    </x:row>
    <x:row r="8">
      <x:c r="A8" s="17" t="str">
        <x:v>V-0007</x:v>
      </x:c>
      <x:c r="B8" s="18" t="n">
        <x:v>46076</x:v>
      </x:c>
      <x:c r="C8" s="17" t="str">
        <x:v>Cliente 035</x:v>
      </x:c>
      <x:c r="D8" s="17" t="str">
        <x:v>Planner</x:v>
      </x:c>
      <x:c r="E8" s="17" t="str">
        <x:v>Papelería</x:v>
      </x:c>
      <x:c r="F8" s="17" t="str">
        <x:v>Santiago</x:v>
      </x:c>
      <x:c r="G8" s="17" t="str">
        <x:v>instagram</x:v>
      </x:c>
      <x:c r="H8" s="17" t="n">
        <x:v>1</x:v>
      </x:c>
      <x:c r="I8" s="19" t="n">
        <x:v>12990</x:v>
      </x:c>
      <x:c r="J8" s="19" t="n">
        <x:v>4800</x:v>
      </x:c>
      <x:c r="K8" s="20" t="n">
        <x:v>0</x:v>
      </x:c>
      <x:c r="L8" s="17" t="str">
        <x:v>Completado</x:v>
      </x:c>
    </x:row>
    <x:row r="9">
      <x:c r="A9" s="17" t="str">
        <x:v>V-0008</x:v>
      </x:c>
      <x:c r="B9" s="18" t="n">
        <x:v>46259</x:v>
      </x:c>
      <x:c r="C9" s="17" t="str">
        <x:v>Cliente 052</x:v>
      </x:c>
      <x:c r="D9" s="17" t="str">
        <x:v>Planner</x:v>
      </x:c>
      <x:c r="E9" s="17" t="str">
        <x:v>Papelería</x:v>
      </x:c>
      <x:c r="F9" s="17" t="str">
        <x:v>V Region</x:v>
      </x:c>
      <x:c r="G9" s="17" t="str">
        <x:v>Web</x:v>
      </x:c>
      <x:c r="H9" s="17" t="n">
        <x:v>2</x:v>
      </x:c>
      <x:c r="I9" s="19" t="n">
        <x:v>12990</x:v>
      </x:c>
      <x:c r="J9" s="19" t="n">
        <x:v>4800</x:v>
      </x:c>
      <x:c r="K9" s="20" t="n">
        <x:v>0.1</x:v>
      </x:c>
      <x:c r="L9" s="17" t="str">
        <x:v>Completado</x:v>
      </x:c>
    </x:row>
    <x:row r="10">
      <x:c r="A10" s="17" t="str">
        <x:v>V-0009</x:v>
      </x:c>
      <x:c r="B10" s="18" t="n">
        <x:v>46091</x:v>
      </x:c>
      <x:c r="C10" s="17" t="str">
        <x:v>Cliente 034</x:v>
      </x:c>
      <x:c r="D10" s="17" t="str">
        <x:v>Teclado</x:v>
      </x:c>
      <x:c r="E10" s="17" t="str">
        <x:v>Tecnología</x:v>
      </x:c>
      <x:c r="F10" s="17" t="str">
        <x:v>Biobio</x:v>
      </x:c>
      <x:c r="G10" s="17" t="str">
        <x:v>IG</x:v>
      </x:c>
      <x:c r="H10" s="17" t="n">
        <x:v>1</x:v>
      </x:c>
      <x:c r="I10" s="19" t="n">
        <x:v>32990</x:v>
      </x:c>
      <x:c r="J10" s="19" t="n">
        <x:v>18500</x:v>
      </x:c>
      <x:c r="K10" s="20" t="n">
        <x:v>0</x:v>
      </x:c>
      <x:c r="L10" s="17" t="str">
        <x:v>PENDIENTE</x:v>
      </x:c>
    </x:row>
    <x:row r="11">
      <x:c r="A11" s="17" t="str">
        <x:v>V-0010</x:v>
      </x:c>
      <x:c r="B11" s="18" t="n">
        <x:v>46058</x:v>
      </x:c>
      <x:c r="C11" s="17" t="str">
        <x:v>Cliente 018</x:v>
      </x:c>
      <x:c r="D11" s="17" t="str">
        <x:v>Lámpara</x:v>
      </x:c>
      <x:c r="E11" s="17" t="str">
        <x:v>Hogar</x:v>
      </x:c>
      <x:c r="F11" s="17" t="str">
        <x:v>VIII Region</x:v>
      </x:c>
      <x:c r="G11" s="17" t="str">
        <x:v>instagram</x:v>
      </x:c>
      <x:c r="H11" s="17" t="n">
        <x:v>2</x:v>
      </x:c>
      <x:c r="I11" s="19" t="n">
        <x:v>21990</x:v>
      </x:c>
      <x:c r="J11" s="19" t="n">
        <x:v>11000</x:v>
      </x:c>
      <x:c r="K11" s="20" t="n">
        <x:v>0.15</x:v>
      </x:c>
      <x:c r="L11" s="17" t="str">
        <x:v>Completado</x:v>
      </x:c>
    </x:row>
    <x:row r="12">
      <x:c r="A12" s="17" t="str">
        <x:v>V-0011</x:v>
      </x:c>
      <x:c r="B12" s="18" t="n">
        <x:v>46153</x:v>
      </x:c>
      <x:c r="C12" s="17" t="str">
        <x:v>Cliente 050</x:v>
      </x:c>
      <x:c r="D12" s="17" t="str">
        <x:v>Polerón</x:v>
      </x:c>
      <x:c r="E12" s="17" t="str">
        <x:v>Moda</x:v>
      </x:c>
      <x:c r="F12" s="17" t="str">
        <x:v>Metropolitana</x:v>
      </x:c>
      <x:c r="G12" s="17" t="str">
        <x:v>Web</x:v>
      </x:c>
      <x:c r="H12" s="17" t="n">
        <x:v>1</x:v>
      </x:c>
      <x:c r="I12" s="19" t="n">
        <x:v>29990</x:v>
      </x:c>
      <x:c r="J12" s="19" t="n">
        <x:v>13500</x:v>
      </x:c>
      <x:c r="K12" s="20" t="n">
        <x:v>0.05</x:v>
      </x:c>
      <x:c r="L12" s="17" t="str">
        <x:v>completado</x:v>
      </x:c>
    </x:row>
    <x:row r="13">
      <x:c r="A13" s="17" t="str">
        <x:v>V-0012</x:v>
      </x:c>
      <x:c r="B13" s="18" t="n">
        <x:v>46120</x:v>
      </x:c>
      <x:c r="C13" s="17" t="str">
        <x:v>Cliente 069</x:v>
      </x:c>
      <x:c r="D13" s="17" t="str">
        <x:v>Cuaderno premium</x:v>
      </x:c>
      <x:c r="E13" s="17" t="str">
        <x:v>Papelería</x:v>
      </x:c>
      <x:c r="F13" s="17" t="str">
        <x:v>VIII Region</x:v>
      </x:c>
      <x:c r="G13" s="17" t="str">
        <x:v>Marketplace</x:v>
      </x:c>
      <x:c r="H13" s="17" t="n">
        <x:v>4</x:v>
      </x:c>
      <x:c r="I13" s="19" t="n">
        <x:v>9990</x:v>
      </x:c>
      <x:c r="J13" s="19" t="n">
        <x:v>3900</x:v>
      </x:c>
      <x:c r="K13" s="20" t="n">
        <x:v>0.05</x:v>
      </x:c>
      <x:c r="L13" s="17" t="str">
        <x:v>Completado</x:v>
      </x:c>
    </x:row>
    <x:row r="14">
      <x:c r="A14" s="17" t="str">
        <x:v>V-0013</x:v>
      </x:c>
      <x:c r="B14" s="18" t="n">
        <x:v>46215</x:v>
      </x:c>
      <x:c r="C14" s="17" t="str">
        <x:v>Cliente 034</x:v>
      </x:c>
      <x:c r="D14" s="17" t="str">
        <x:v>Organizador</x:v>
      </x:c>
      <x:c r="E14" s="17" t="str">
        <x:v>Hogar</x:v>
      </x:c>
      <x:c r="F14" s="17" t="str">
        <x:v>Biobio</x:v>
      </x:c>
      <x:c r="G14" s="17" t="str">
        <x:v>Web</x:v>
      </x:c>
      <x:c r="H14" s="17" t="n">
        <x:v>2</x:v>
      </x:c>
      <x:c r="I14" s="19" t="n">
        <x:v>14990</x:v>
      </x:c>
      <x:c r="J14" s="19" t="n">
        <x:v>7200</x:v>
      </x:c>
      <x:c r="K14" s="20" t="n">
        <x:v>0.1</x:v>
      </x:c>
      <x:c r="L14" s="17" t="str">
        <x:v>OK</x:v>
      </x:c>
    </x:row>
    <x:row r="15">
      <x:c r="A15" s="17" t="str">
        <x:v>V-0014</x:v>
      </x:c>
      <x:c r="B15" s="18" t="n">
        <x:v>46151</x:v>
      </x:c>
      <x:c r="C15" s="17" t="str">
        <x:v>Cliente 021</x:v>
      </x:c>
      <x:c r="D15" s="17" t="str">
        <x:v>Mouse</x:v>
      </x:c>
      <x:c r="E15" s="17" t="str">
        <x:v>Tecnología</x:v>
      </x:c>
      <x:c r="F15" s="17" t="str">
        <x:v>Santiago</x:v>
      </x:c>
      <x:c r="G15" s="17" t="str">
        <x:v>web</x:v>
      </x:c>
      <x:c r="H15" s="17" t="n">
        <x:v>1</x:v>
      </x:c>
      <x:c r="I15" s="19" t="n">
        <x:v>18990</x:v>
      </x:c>
      <x:c r="J15" s="19" t="n">
        <x:v>9800</x:v>
      </x:c>
      <x:c r="K15" s="20" t="n">
        <x:v>0</x:v>
      </x:c>
      <x:c r="L15" s="17" t="str">
        <x:v>Completado</x:v>
      </x:c>
    </x:row>
    <x:row r="16">
      <x:c r="A16" s="17" t="str">
        <x:v>V-0015</x:v>
      </x:c>
      <x:c r="B16" s="18" t="n">
        <x:v>46161</x:v>
      </x:c>
      <x:c r="C16" s="17" t="str">
        <x:v>Cliente 031</x:v>
      </x:c>
      <x:c r="D16" s="17" t="str">
        <x:v>Mochila</x:v>
      </x:c>
      <x:c r="E16" s="17" t="str">
        <x:v>Moda</x:v>
      </x:c>
      <x:c r="F16" s="17" t="str">
        <x:v>Biobío</x:v>
      </x:c>
      <x:c r="G16" s="17" t="str">
        <x:v>WEB</x:v>
      </x:c>
      <x:c r="H16" s="17" t="n">
        <x:v>3</x:v>
      </x:c>
      <x:c r="I16" s="19" t="n">
        <x:v>26990</x:v>
      </x:c>
      <x:c r="J16" s="19" t="n">
        <x:v>12000</x:v>
      </x:c>
      <x:c r="K16" s="20" t="n">
        <x:v>0</x:v>
      </x:c>
      <x:c r="L16" s="17" t="str">
        <x:v>pend.</x:v>
      </x:c>
    </x:row>
    <x:row r="17">
      <x:c r="A17" s="17" t="str">
        <x:v>V-0016</x:v>
      </x:c>
      <x:c r="B17" s="18" t="n">
        <x:v>46247</x:v>
      </x:c>
      <x:c r="C17" s="17" t="str">
        <x:v>Cliente 017</x:v>
      </x:c>
      <x:c r="D17" s="17" t="str">
        <x:v>Cuaderno premium</x:v>
      </x:c>
      <x:c r="E17" s="17" t="str">
        <x:v>Papelería</x:v>
      </x:c>
      <x:c r="F17" s="17" t="str">
        <x:v>Santiago</x:v>
      </x:c>
      <x:c r="G17" s="17" t="str">
        <x:v>Web</x:v>
      </x:c>
      <x:c r="H17" s="17" t="n">
        <x:v>3</x:v>
      </x:c>
      <x:c r="I17" s="19" t="n">
        <x:v>9990</x:v>
      </x:c>
      <x:c r="J17" s="19" t="n">
        <x:v>3900</x:v>
      </x:c>
      <x:c r="K17" s="20" t="n">
        <x:v>0.05</x:v>
      </x:c>
      <x:c r="L17" s="17" t="str">
        <x:v>CANCEL</x:v>
      </x:c>
    </x:row>
    <x:row r="18">
      <x:c r="A18" s="17" t="str">
        <x:v>V-0017</x:v>
      </x:c>
      <x:c r="B18" s="18" t="n">
        <x:v>46191</x:v>
      </x:c>
      <x:c r="C18" s="17" t="str">
        <x:v>Cliente 026</x:v>
      </x:c>
      <x:c r="D18" s="17" t="str">
        <x:v>Polerón</x:v>
      </x:c>
      <x:c r="E18" s="17" t="str">
        <x:v>Moda</x:v>
      </x:c>
      <x:c r="F18" s="17" t="str">
        <x:v>Valparaíso</x:v>
      </x:c>
      <x:c r="G18" s="17" t="str">
        <x:v>web</x:v>
      </x:c>
      <x:c r="H18" s="17" t="n">
        <x:v>3</x:v>
      </x:c>
      <x:c r="I18" s="19" t="n">
        <x:v>29990</x:v>
      </x:c>
      <x:c r="J18" s="19" t="n">
        <x:v>13500</x:v>
      </x:c>
      <x:c r="K18" s="20" t="n">
        <x:v>0.1</x:v>
      </x:c>
      <x:c r="L18" s="17" t="str">
        <x:v>Completado</x:v>
      </x:c>
    </x:row>
    <x:row r="19">
      <x:c r="A19" s="17" t="str">
        <x:v>V-0018</x:v>
      </x:c>
      <x:c r="B19" s="18" t="n">
        <x:v>46205</x:v>
      </x:c>
      <x:c r="C19" s="17" t="str">
        <x:v>Cliente 003</x:v>
      </x:c>
      <x:c r="D19" s="17" t="str">
        <x:v>Organizador</x:v>
      </x:c>
      <x:c r="E19" s="17" t="str">
        <x:v>Hogar</x:v>
      </x:c>
      <x:c r="F19" s="17" t="str">
        <x:v>Biobío</x:v>
      </x:c>
      <x:c r="G19" s="17" t="str">
        <x:v>market place</x:v>
      </x:c>
      <x:c r="H19" s="17" t="n">
        <x:v>1</x:v>
      </x:c>
      <x:c r="I19" s="19" t="n">
        <x:v>14990</x:v>
      </x:c>
      <x:c r="J19" s="19" t="n">
        <x:v>7200</x:v>
      </x:c>
      <x:c r="K19" s="20" t="n">
        <x:v>0</x:v>
      </x:c>
      <x:c r="L19" s="17" t="str">
        <x:v>Completado</x:v>
      </x:c>
    </x:row>
    <x:row r="20">
      <x:c r="A20" s="17" t="str">
        <x:v>V-0019</x:v>
      </x:c>
      <x:c r="B20" s="18" t="n">
        <x:v>46173</x:v>
      </x:c>
      <x:c r="C20" s="17" t="str">
        <x:v>Cliente 043</x:v>
      </x:c>
      <x:c r="D20" s="17" t="str">
        <x:v>Mochila</x:v>
      </x:c>
      <x:c r="E20" s="17" t="str">
        <x:v>Moda</x:v>
      </x:c>
      <x:c r="F20" s="17" t="str">
        <x:v>Valparaiso</x:v>
      </x:c>
      <x:c r="G20" s="17" t="str">
        <x:v>web</x:v>
      </x:c>
      <x:c r="H20" s="17" t="n">
        <x:v>1</x:v>
      </x:c>
      <x:c r="I20" s="19" t="n">
        <x:v>26990</x:v>
      </x:c>
      <x:c r="J20" s="19" t="n">
        <x:v>12000</x:v>
      </x:c>
      <x:c r="K20" s="20" t="n">
        <x:v>0.1</x:v>
      </x:c>
      <x:c r="L20" s="17" t="str">
        <x:v>Completado</x:v>
      </x:c>
    </x:row>
    <x:row r="21">
      <x:c r="A21" s="17" t="str">
        <x:v>V-0020</x:v>
      </x:c>
      <x:c r="B21" s="18" t="n">
        <x:v>46041</x:v>
      </x:c>
      <x:c r="C21" s="17" t="str">
        <x:v>Cliente 032</x:v>
      </x:c>
      <x:c r="D21" s="17" t="str">
        <x:v>Mochila</x:v>
      </x:c>
      <x:c r="E21" s="17" t="str">
        <x:v>Moda</x:v>
      </x:c>
      <x:c r="F21" s="17" t="str">
        <x:v>Maule</x:v>
      </x:c>
      <x:c r="G21" s="17" t="str">
        <x:v>web</x:v>
      </x:c>
      <x:c r="H21" s="17" t="n">
        <x:v>1</x:v>
      </x:c>
      <x:c r="I21" s="19" t="n">
        <x:v>26990</x:v>
      </x:c>
      <x:c r="J21" s="19" t="n">
        <x:v>12000</x:v>
      </x:c>
      <x:c r="K21" s="20" t="n">
        <x:v>0</x:v>
      </x:c>
      <x:c r="L21" s="17" t="str">
        <x:v>CANCEL</x:v>
      </x:c>
    </x:row>
    <x:row r="22">
      <x:c r="A22" s="17" t="str">
        <x:v>V-0021</x:v>
      </x:c>
      <x:c r="B22" s="18" t="n">
        <x:v>46223</x:v>
      </x:c>
      <x:c r="C22" s="17" t="str">
        <x:v>Cliente 007</x:v>
      </x:c>
      <x:c r="D22" s="17" t="str">
        <x:v>Polerón</x:v>
      </x:c>
      <x:c r="E22" s="17" t="str">
        <x:v>Moda</x:v>
      </x:c>
      <x:c r="F22" s="17" t="str">
        <x:v>Valparaiso</x:v>
      </x:c>
      <x:c r="G22" s="17" t="str">
        <x:v>WEB</x:v>
      </x:c>
      <x:c r="H22" s="17" t="n">
        <x:v>2</x:v>
      </x:c>
      <x:c r="I22" s="19" t="n">
        <x:v>29990</x:v>
      </x:c>
      <x:c r="J22" s="19" t="n">
        <x:v>13500</x:v>
      </x:c>
      <x:c r="K22" s="20" t="n">
        <x:v>0</x:v>
      </x:c>
      <x:c r="L22" s="17" t="str">
        <x:v>completado</x:v>
      </x:c>
    </x:row>
    <x:row r="23">
      <x:c r="A23" s="17" t="str">
        <x:v>V-0022</x:v>
      </x:c>
      <x:c r="B23" s="18" t="n">
        <x:v>46195</x:v>
      </x:c>
      <x:c r="C23" s="17" t="str">
        <x:v>Cliente 025</x:v>
      </x:c>
      <x:c r="D23" s="17" t="str">
        <x:v>Planner</x:v>
      </x:c>
      <x:c r="E23" s="17" t="str">
        <x:v>Papelería</x:v>
      </x:c>
      <x:c r="F23" s="17" t="str">
        <x:v>Metropolitana</x:v>
      </x:c>
      <x:c r="G23" s="17" t="str">
        <x:v>WEB</x:v>
      </x:c>
      <x:c r="H23" s="17" t="n">
        <x:v>4</x:v>
      </x:c>
      <x:c r="I23" s="19" t="n">
        <x:v>12990</x:v>
      </x:c>
      <x:c r="J23" s="19" t="n">
        <x:v>4800</x:v>
      </x:c>
      <x:c r="K23" s="20" t="n">
        <x:v>0</x:v>
      </x:c>
      <x:c r="L23" s="17" t="str">
        <x:v>Completado</x:v>
      </x:c>
    </x:row>
    <x:row r="24">
      <x:c r="A24" s="17" t="str">
        <x:v>V-0023</x:v>
      </x:c>
      <x:c r="B24" s="18" t="n">
        <x:v>46160</x:v>
      </x:c>
      <x:c r="C24" s="17" t="str">
        <x:v>Cliente 070</x:v>
      </x:c>
      <x:c r="D24" s="17" t="str">
        <x:v>Polerón</x:v>
      </x:c>
      <x:c r="E24" s="17" t="str">
        <x:v>Moda</x:v>
      </x:c>
      <x:c r="F24" s="17" t="str">
        <x:v>Valparaíso</x:v>
      </x:c>
      <x:c r="G24" s="17" t="str">
        <x:v>Web</x:v>
      </x:c>
      <x:c r="H24" s="17" t="n">
        <x:v>1</x:v>
      </x:c>
      <x:c r="I24" s="19" t="n">
        <x:v>29990</x:v>
      </x:c>
      <x:c r="J24" s="19" t="n">
        <x:v>13500</x:v>
      </x:c>
      <x:c r="K24" s="20" t="n">
        <x:v>0</x:v>
      </x:c>
      <x:c r="L24" s="17" t="str">
        <x:v>OK</x:v>
      </x:c>
    </x:row>
    <x:row r="25">
      <x:c r="A25" s="17" t="str">
        <x:v>V-0024</x:v>
      </x:c>
      <x:c r="B25" s="18" t="n">
        <x:v>46237</x:v>
      </x:c>
      <x:c r="C25" s="17" t="str">
        <x:v>Cliente 022</x:v>
      </x:c>
      <x:c r="D25" s="17" t="str">
        <x:v>Auriculares</x:v>
      </x:c>
      <x:c r="E25" s="17" t="str">
        <x:v>Tecnología</x:v>
      </x:c>
      <x:c r="F25" s="17" t="str">
        <x:v>Valparaiso</x:v>
      </x:c>
      <x:c r="G25" s="17" t="str">
        <x:v>WEB</x:v>
      </x:c>
      <x:c r="H25" s="17" t="n">
        <x:v>4</x:v>
      </x:c>
      <x:c r="I25" s="19" t="n">
        <x:v>24990</x:v>
      </x:c>
      <x:c r="J25" s="19" t="n">
        <x:v>14500</x:v>
      </x:c>
      <x:c r="K25" s="20" t="n">
        <x:v>0.1</x:v>
      </x:c>
      <x:c r="L25" s="17" t="str">
        <x:v>completado</x:v>
      </x:c>
    </x:row>
    <x:row r="26">
      <x:c r="A26" s="17" t="str">
        <x:v>V-0025</x:v>
      </x:c>
      <x:c r="B26" s="18" t="n">
        <x:v>46120</x:v>
      </x:c>
      <x:c r="C26" s="17" t="str">
        <x:v>Cliente 063</x:v>
      </x:c>
      <x:c r="D26" s="17" t="str">
        <x:v>Auriculares</x:v>
      </x:c>
      <x:c r="E26" s="17" t="str">
        <x:v>Tecnología</x:v>
      </x:c>
      <x:c r="F26" s="17" t="str">
        <x:v>Biobío</x:v>
      </x:c>
      <x:c r="G26" s="17" t="str">
        <x:v>web</x:v>
      </x:c>
      <x:c r="H26" s="17" t="n">
        <x:v>4</x:v>
      </x:c>
      <x:c r="I26" s="19" t="n">
        <x:v>24990</x:v>
      </x:c>
      <x:c r="J26" s="19" t="n">
        <x:v>14500</x:v>
      </x:c>
      <x:c r="K26" s="20" t="n">
        <x:v>0.05</x:v>
      </x:c>
      <x:c r="L26" s="17" t="str">
        <x:v>CANCEL</x:v>
      </x:c>
    </x:row>
    <x:row r="27">
      <x:c r="A27" s="17" t="str">
        <x:v>V-0026</x:v>
      </x:c>
      <x:c r="B27" s="18" t="n">
        <x:v>46062</x:v>
      </x:c>
      <x:c r="C27" s="17" t="str">
        <x:v>Cliente 062</x:v>
      </x:c>
      <x:c r="D27" s="17" t="str">
        <x:v>Lámpara</x:v>
      </x:c>
      <x:c r="E27" s="17" t="str">
        <x:v>Hogar</x:v>
      </x:c>
      <x:c r="F27" s="17" t="str">
        <x:v>Santiago</x:v>
      </x:c>
      <x:c r="G27" s="17" t="str">
        <x:v>Instagram</x:v>
      </x:c>
      <x:c r="H27" s="17" t="n">
        <x:v>1</x:v>
      </x:c>
      <x:c r="I27" s="19" t="n">
        <x:v>21990</x:v>
      </x:c>
      <x:c r="J27" s="19" t="n">
        <x:v>11000</x:v>
      </x:c>
      <x:c r="K27" s="20" t="n">
        <x:v>0</x:v>
      </x:c>
      <x:c r="L27" s="17" t="str">
        <x:v>Completado</x:v>
      </x:c>
    </x:row>
    <x:row r="28">
      <x:c r="A28" s="17" t="str">
        <x:v>V-0027</x:v>
      </x:c>
      <x:c r="B28" s="18" t="n">
        <x:v>46151</x:v>
      </x:c>
      <x:c r="C28" s="17" t="str">
        <x:v>Cliente 073</x:v>
      </x:c>
      <x:c r="D28" s="17" t="str">
        <x:v>Mochila</x:v>
      </x:c>
      <x:c r="E28" s="17" t="str">
        <x:v>Moda</x:v>
      </x:c>
      <x:c r="F28" s="17" t="str">
        <x:v>Metropolitana</x:v>
      </x:c>
      <x:c r="G28" s="17" t="str">
        <x:v>Web</x:v>
      </x:c>
      <x:c r="H28" s="17" t="n">
        <x:v>1</x:v>
      </x:c>
      <x:c r="I28" s="19" t="n">
        <x:v>26990</x:v>
      </x:c>
      <x:c r="J28" s="19" t="n">
        <x:v>12000</x:v>
      </x:c>
      <x:c r="K28" s="20" t="n">
        <x:v>0</x:v>
      </x:c>
      <x:c r="L28" s="17" t="str">
        <x:v>Completado</x:v>
      </x:c>
    </x:row>
    <x:row r="29">
      <x:c r="A29" s="17" t="str">
        <x:v>V-0028</x:v>
      </x:c>
      <x:c r="B29" s="18" t="n">
        <x:v>46086</x:v>
      </x:c>
      <x:c r="C29" s="17" t="str">
        <x:v>Cliente 041</x:v>
      </x:c>
      <x:c r="D29" s="17" t="str">
        <x:v>Cuaderno premium</x:v>
      </x:c>
      <x:c r="E29" s="17" t="str">
        <x:v>Papelería</x:v>
      </x:c>
      <x:c r="F29" s="17" t="str">
        <x:v>RM</x:v>
      </x:c>
      <x:c r="G29" s="17" t="str">
        <x:v>instagram</x:v>
      </x:c>
      <x:c r="H29" s="17" t="n">
        <x:v>2</x:v>
      </x:c>
      <x:c r="I29" s="19" t="n">
        <x:v>9990</x:v>
      </x:c>
      <x:c r="J29" s="19" t="n">
        <x:v>3900</x:v>
      </x:c>
      <x:c r="K29" s="20" t="n">
        <x:v>0</x:v>
      </x:c>
      <x:c r="L29" s="17" t="str">
        <x:v>completado</x:v>
      </x:c>
    </x:row>
    <x:row r="30">
      <x:c r="A30" s="17" t="str">
        <x:v>V-0029</x:v>
      </x:c>
      <x:c r="B30" s="18" t="n">
        <x:v>46084</x:v>
      </x:c>
      <x:c r="C30" s="17" t="str">
        <x:v>Cliente 013</x:v>
      </x:c>
      <x:c r="D30" s="17" t="str">
        <x:v>Organizador</x:v>
      </x:c>
      <x:c r="E30" s="17" t="str">
        <x:v>Hogar</x:v>
      </x:c>
      <x:c r="F30" s="17" t="str">
        <x:v>Biobío</x:v>
      </x:c>
      <x:c r="G30" s="17" t="str">
        <x:v>Web</x:v>
      </x:c>
      <x:c r="H30" s="17" t="n">
        <x:v>1</x:v>
      </x:c>
      <x:c r="I30" s="19" t="n">
        <x:v>14990</x:v>
      </x:c>
      <x:c r="J30" s="19" t="n">
        <x:v>7200</x:v>
      </x:c>
      <x:c r="K30" s="20" t="n">
        <x:v>0.15</x:v>
      </x:c>
      <x:c r="L30" s="17" t="str">
        <x:v>OK</x:v>
      </x:c>
    </x:row>
    <x:row r="31">
      <x:c r="A31" s="17" t="str">
        <x:v>V-0030</x:v>
      </x:c>
      <x:c r="B31" s="18" t="n">
        <x:v>46041</x:v>
      </x:c>
      <x:c r="C31" s="17" t="str">
        <x:v>Cliente 057</x:v>
      </x:c>
      <x:c r="D31" s="17" t="str">
        <x:v>Mochila</x:v>
      </x:c>
      <x:c r="E31" s="17" t="str">
        <x:v>Moda</x:v>
      </x:c>
      <x:c r="F31" s="17" t="str">
        <x:v>Biobio</x:v>
      </x:c>
      <x:c r="G31" s="17" t="str">
        <x:v>Marketplace</x:v>
      </x:c>
      <x:c r="H31" s="17" t="n">
        <x:v>1</x:v>
      </x:c>
      <x:c r="I31" s="19" t="n">
        <x:v>26990</x:v>
      </x:c>
      <x:c r="J31" s="19" t="n">
        <x:v>12000</x:v>
      </x:c>
      <x:c r="K31" s="20" t="n">
        <x:v>0</x:v>
      </x:c>
      <x:c r="L31" s="17" t="str">
        <x:v>pend.</x:v>
      </x:c>
    </x:row>
    <x:row r="32">
      <x:c r="A32" s="17" t="str">
        <x:v>V-0031</x:v>
      </x:c>
      <x:c r="B32" s="18" t="n">
        <x:v>46236</x:v>
      </x:c>
      <x:c r="C32" s="17" t="str">
        <x:v>Cliente 018</x:v>
      </x:c>
      <x:c r="D32" s="17" t="str">
        <x:v>Mochila</x:v>
      </x:c>
      <x:c r="E32" s="17" t="str">
        <x:v>Moda</x:v>
      </x:c>
      <x:c r="F32" s="17" t="str">
        <x:v>Santiago</x:v>
      </x:c>
      <x:c r="G32" s="17" t="str">
        <x:v>market place</x:v>
      </x:c>
      <x:c r="H32" s="17" t="n">
        <x:v>2</x:v>
      </x:c>
      <x:c r="I32" s="19" t="n">
        <x:v>26990</x:v>
      </x:c>
      <x:c r="J32" s="19" t="n">
        <x:v>12000</x:v>
      </x:c>
      <x:c r="K32" s="20" t="n">
        <x:v>0.1</x:v>
      </x:c>
      <x:c r="L32" s="17" t="str">
        <x:v>Cancelado</x:v>
      </x:c>
    </x:row>
    <x:row r="33">
      <x:c r="A33" s="17" t="str">
        <x:v>V-0032</x:v>
      </x:c>
      <x:c r="B33" s="18" t="n">
        <x:v>46090</x:v>
      </x:c>
      <x:c r="C33" s="17" t="str">
        <x:v>Cliente 034</x:v>
      </x:c>
      <x:c r="D33" s="17" t="str">
        <x:v>Teclado</x:v>
      </x:c>
      <x:c r="E33" s="17" t="str">
        <x:v>Tecnología</x:v>
      </x:c>
      <x:c r="F33" s="17" t="str">
        <x:v>Valparaíso</x:v>
      </x:c>
      <x:c r="G33" s="17" t="str">
        <x:v>Web</x:v>
      </x:c>
      <x:c r="H33" s="17" t="n">
        <x:v>3</x:v>
      </x:c>
      <x:c r="I33" s="19" t="n">
        <x:v>32990</x:v>
      </x:c>
      <x:c r="J33" s="19" t="n">
        <x:v>18500</x:v>
      </x:c>
      <x:c r="K33" s="20" t="n">
        <x:v>0.05</x:v>
      </x:c>
      <x:c r="L33" s="17" t="str">
        <x:v>Completado</x:v>
      </x:c>
    </x:row>
    <x:row r="34">
      <x:c r="A34" s="17" t="str">
        <x:v>V-0033</x:v>
      </x:c>
      <x:c r="B34" s="18" t="n">
        <x:v>46152</x:v>
      </x:c>
      <x:c r="C34" s="17" t="str">
        <x:v>Cliente 034</x:v>
      </x:c>
      <x:c r="D34" s="17" t="str">
        <x:v>Polerón</x:v>
      </x:c>
      <x:c r="E34" s="17" t="str">
        <x:v>Moda</x:v>
      </x:c>
      <x:c r="F34" s="17" t="str">
        <x:v>Metropolitana</x:v>
      </x:c>
      <x:c r="G34" s="17" t="str">
        <x:v>IG</x:v>
      </x:c>
      <x:c r="H34" s="17" t="n">
        <x:v>1</x:v>
      </x:c>
      <x:c r="I34" s="19" t="n">
        <x:v>29990</x:v>
      </x:c>
      <x:c r="J34" s="19" t="n">
        <x:v>13500</x:v>
      </x:c>
      <x:c r="K34" s="20" t="n">
        <x:v>0.05</x:v>
      </x:c>
      <x:c r="L34" s="17" t="str">
        <x:v>completado</x:v>
      </x:c>
    </x:row>
    <x:row r="35">
      <x:c r="A35" s="17" t="str">
        <x:v>V-0034</x:v>
      </x:c>
      <x:c r="B35" s="18" t="n">
        <x:v>46064</x:v>
      </x:c>
      <x:c r="C35" s="17" t="str">
        <x:v>Cliente 070</x:v>
      </x:c>
      <x:c r="D35" s="17" t="str">
        <x:v>Set de lápices</x:v>
      </x:c>
      <x:c r="E35" s="17" t="str">
        <x:v>Papelería</x:v>
      </x:c>
      <x:c r="F35" s="17" t="str">
        <x:v>Región del Maule</x:v>
      </x:c>
      <x:c r="G35" s="17" t="str">
        <x:v>Web</x:v>
      </x:c>
      <x:c r="H35" s="17" t="n">
        <x:v>1</x:v>
      </x:c>
      <x:c r="I35" s="19" t="n">
        <x:v>7990</x:v>
      </x:c>
      <x:c r="J35" s="19" t="n">
        <x:v>2600</x:v>
      </x:c>
      <x:c r="K35" s="20" t="n">
        <x:v>0.1</x:v>
      </x:c>
      <x:c r="L35" s="17" t="str">
        <x:v>CANCEL</x:v>
      </x:c>
    </x:row>
    <x:row r="36">
      <x:c r="A36" s="17" t="str">
        <x:v>V-0035</x:v>
      </x:c>
      <x:c r="B36" s="18" t="n">
        <x:v>46032</x:v>
      </x:c>
      <x:c r="C36" s="17" t="str">
        <x:v>Cliente 027</x:v>
      </x:c>
      <x:c r="D36" s="17" t="str">
        <x:v>Botella térmica</x:v>
      </x:c>
      <x:c r="E36" s="17" t="str">
        <x:v>Hogar</x:v>
      </x:c>
      <x:c r="F36" s="17" t="str">
        <x:v>Valparaíso</x:v>
      </x:c>
      <x:c r="G36" s="17" t="str">
        <x:v>WEB</x:v>
      </x:c>
      <x:c r="H36" s="17" t="n">
        <x:v>2</x:v>
      </x:c>
      <x:c r="I36" s="19" t="n">
        <x:v>17990</x:v>
      </x:c>
      <x:c r="J36" s="19" t="n">
        <x:v>8300</x:v>
      </x:c>
      <x:c r="K36" s="20" t="n">
        <x:v>0.1</x:v>
      </x:c>
      <x:c r="L36" s="17" t="str">
        <x:v>Completado</x:v>
      </x:c>
    </x:row>
    <x:row r="37">
      <x:c r="A37" s="17" t="str">
        <x:v>V-0036</x:v>
      </x:c>
      <x:c r="B37" s="18" t="n">
        <x:v>46197</x:v>
      </x:c>
      <x:c r="C37" s="17" t="str">
        <x:v>Cliente 031</x:v>
      </x:c>
      <x:c r="D37" s="17" t="str">
        <x:v>Lámpara</x:v>
      </x:c>
      <x:c r="E37" s="17" t="str">
        <x:v>Hogar</x:v>
      </x:c>
      <x:c r="F37" s="17" t="str">
        <x:v>VIII Region</x:v>
      </x:c>
      <x:c r="G37" s="17" t="str">
        <x:v>market place</x:v>
      </x:c>
      <x:c r="H37" s="17" t="n">
        <x:v>2</x:v>
      </x:c>
      <x:c r="I37" s="19" t="n">
        <x:v>21990</x:v>
      </x:c>
      <x:c r="J37" s="19" t="n">
        <x:v>11000</x:v>
      </x:c>
      <x:c r="K37" s="20" t="n">
        <x:v>0</x:v>
      </x:c>
      <x:c r="L37" s="17" t="str">
        <x:v>CANCEL</x:v>
      </x:c>
    </x:row>
    <x:row r="38">
      <x:c r="A38" s="17" t="str">
        <x:v>V-0037</x:v>
      </x:c>
      <x:c r="B38" s="18" t="n">
        <x:v>46244</x:v>
      </x:c>
      <x:c r="C38" s="17" t="str">
        <x:v>Cliente 032</x:v>
      </x:c>
      <x:c r="D38" s="17" t="str">
        <x:v>Mouse</x:v>
      </x:c>
      <x:c r="E38" s="17" t="str">
        <x:v>Tecnología</x:v>
      </x:c>
      <x:c r="F38" s="17" t="str">
        <x:v>Valparaíso</x:v>
      </x:c>
      <x:c r="G38" s="17" t="str">
        <x:v>web</x:v>
      </x:c>
      <x:c r="H38" s="17" t="n">
        <x:v>4</x:v>
      </x:c>
      <x:c r="I38" s="19" t="n">
        <x:v>18990</x:v>
      </x:c>
      <x:c r="J38" s="19" t="n">
        <x:v>9800</x:v>
      </x:c>
      <x:c r="K38" s="20" t="n">
        <x:v>0.1</x:v>
      </x:c>
      <x:c r="L38" s="17" t="str">
        <x:v>cancelado</x:v>
      </x:c>
    </x:row>
    <x:row r="39">
      <x:c r="A39" s="17" t="str">
        <x:v>V-0038</x:v>
      </x:c>
      <x:c r="B39" s="18" t="n">
        <x:v>46091</x:v>
      </x:c>
      <x:c r="C39" s="17" t="str">
        <x:v>Cliente 030</x:v>
      </x:c>
      <x:c r="D39" s="17" t="str">
        <x:v>Mouse</x:v>
      </x:c>
      <x:c r="E39" s="17" t="str">
        <x:v>Tecnología</x:v>
      </x:c>
      <x:c r="F39" s="17" t="str">
        <x:v>RM</x:v>
      </x:c>
      <x:c r="G39" s="17" t="str">
        <x:v>market place</x:v>
      </x:c>
      <x:c r="H39" s="17" t="n">
        <x:v>2</x:v>
      </x:c>
      <x:c r="I39" s="19" t="n">
        <x:v>18990</x:v>
      </x:c>
      <x:c r="J39" s="19" t="n">
        <x:v>9800</x:v>
      </x:c>
      <x:c r="K39" s="20" t="n">
        <x:v>0</x:v>
      </x:c>
      <x:c r="L39" s="17" t="str">
        <x:v>completado</x:v>
      </x:c>
    </x:row>
    <x:row r="40">
      <x:c r="A40" s="17" t="str">
        <x:v>V-0039</x:v>
      </x:c>
      <x:c r="B40" s="18" t="n">
        <x:v>46080</x:v>
      </x:c>
      <x:c r="C40" s="17" t="str">
        <x:v>Cliente 066</x:v>
      </x:c>
      <x:c r="D40" s="17" t="str">
        <x:v>Auriculares</x:v>
      </x:c>
      <x:c r="E40" s="17" t="str">
        <x:v>Tecnología</x:v>
      </x:c>
      <x:c r="F40" s="17" t="str">
        <x:v>VII Region</x:v>
      </x:c>
      <x:c r="G40" s="17" t="str">
        <x:v>Web</x:v>
      </x:c>
      <x:c r="H40" s="17" t="n">
        <x:v>2</x:v>
      </x:c>
      <x:c r="I40" s="19" t="n">
        <x:v>24990</x:v>
      </x:c>
      <x:c r="J40" s="19" t="n">
        <x:v>14500</x:v>
      </x:c>
      <x:c r="K40" s="20" t="n">
        <x:v>0</x:v>
      </x:c>
      <x:c r="L40" s="17" t="str">
        <x:v>cancelado</x:v>
      </x:c>
    </x:row>
    <x:row r="41">
      <x:c r="A41" s="17" t="str">
        <x:v>V-0040</x:v>
      </x:c>
      <x:c r="B41" s="18" t="n">
        <x:v>46125</x:v>
      </x:c>
      <x:c r="C41" s="17" t="str">
        <x:v>Cliente 056</x:v>
      </x:c>
      <x:c r="D41" s="17" t="str">
        <x:v>Planner</x:v>
      </x:c>
      <x:c r="E41" s="17" t="str">
        <x:v>Papelería</x:v>
      </x:c>
      <x:c r="F41" s="17" t="str">
        <x:v>Biobio</x:v>
      </x:c>
      <x:c r="G41" s="17" t="str">
        <x:v>WEB</x:v>
      </x:c>
      <x:c r="H41" s="17" t="n">
        <x:v>4</x:v>
      </x:c>
      <x:c r="I41" s="19" t="n">
        <x:v>12990</x:v>
      </x:c>
      <x:c r="J41" s="19" t="n">
        <x:v>4800</x:v>
      </x:c>
      <x:c r="K41" s="20" t="n">
        <x:v>0</x:v>
      </x:c>
      <x:c r="L41" s="17" t="str">
        <x:v>completado</x:v>
      </x:c>
    </x:row>
    <x:row r="42">
      <x:c r="A42" s="17" t="str">
        <x:v>V-0041</x:v>
      </x:c>
      <x:c r="B42" s="18" t="n">
        <x:v>46111</x:v>
      </x:c>
      <x:c r="C42" s="17" t="str">
        <x:v>Cliente 006</x:v>
      </x:c>
      <x:c r="D42" s="17" t="str">
        <x:v>Set de lápices</x:v>
      </x:c>
      <x:c r="E42" s="17" t="str">
        <x:v>Papelería</x:v>
      </x:c>
      <x:c r="F42" s="17" t="str">
        <x:v>Región del Maule</x:v>
      </x:c>
      <x:c r="G42" s="17" t="str">
        <x:v>Marketplace</x:v>
      </x:c>
      <x:c r="H42" s="17" t="n">
        <x:v>2</x:v>
      </x:c>
      <x:c r="I42" s="19" t="n">
        <x:v>7990</x:v>
      </x:c>
      <x:c r="J42" s="19" t="n">
        <x:v>2600</x:v>
      </x:c>
      <x:c r="K42" s="20" t="n">
        <x:v>0</x:v>
      </x:c>
      <x:c r="L42" s="17" t="str">
        <x:v>OK</x:v>
      </x:c>
    </x:row>
    <x:row r="43">
      <x:c r="A43" s="17" t="str">
        <x:v>V-0042</x:v>
      </x:c>
      <x:c r="B43" s="18" t="n">
        <x:v>46204</x:v>
      </x:c>
      <x:c r="C43" s="17" t="str">
        <x:v>Cliente 016</x:v>
      </x:c>
      <x:c r="D43" s="17" t="str">
        <x:v>Polera básica</x:v>
      </x:c>
      <x:c r="E43" s="17" t="str">
        <x:v>Moda</x:v>
      </x:c>
      <x:c r="F43" s="17" t="str">
        <x:v>Valparaíso</x:v>
      </x:c>
      <x:c r="G43" s="17" t="str">
        <x:v>web</x:v>
      </x:c>
      <x:c r="H43" s="17" t="n">
        <x:v>1</x:v>
      </x:c>
      <x:c r="I43" s="19" t="n">
        <x:v>15990</x:v>
      </x:c>
      <x:c r="J43" s="19" t="n">
        <x:v>6800</x:v>
      </x:c>
      <x:c r="K43" s="20" t="n">
        <x:v>0</x:v>
      </x:c>
      <x:c r="L43" s="17" t="str">
        <x:v>CANCEL</x:v>
      </x:c>
    </x:row>
    <x:row r="44">
      <x:c r="A44" s="17" t="str">
        <x:v>V-0043</x:v>
      </x:c>
      <x:c r="B44" s="18" t="n">
        <x:v>46207</x:v>
      </x:c>
      <x:c r="C44" s="17" t="str">
        <x:v>Cliente 049</x:v>
      </x:c>
      <x:c r="D44" s="17" t="str">
        <x:v>Organizador</x:v>
      </x:c>
      <x:c r="E44" s="17" t="str">
        <x:v>Hogar</x:v>
      </x:c>
      <x:c r="F44" s="17" t="str">
        <x:v>VII Region</x:v>
      </x:c>
      <x:c r="G44" s="17" t="str">
        <x:v>WEB</x:v>
      </x:c>
      <x:c r="H44" s="17" t="n">
        <x:v>1</x:v>
      </x:c>
      <x:c r="I44" s="19" t="n">
        <x:v>14990</x:v>
      </x:c>
      <x:c r="J44" s="19" t="n">
        <x:v>7200</x:v>
      </x:c>
      <x:c r="K44" s="20" t="n">
        <x:v>0</x:v>
      </x:c>
      <x:c r="L44" s="17" t="str">
        <x:v>Completado</x:v>
      </x:c>
    </x:row>
    <x:row r="45">
      <x:c r="A45" s="17" t="str">
        <x:v>V-0044</x:v>
      </x:c>
      <x:c r="B45" s="18" t="n">
        <x:v>46196</x:v>
      </x:c>
      <x:c r="C45" s="17" t="str">
        <x:v>Cliente 075</x:v>
      </x:c>
      <x:c r="D45" s="17" t="str">
        <x:v>Set de lápices</x:v>
      </x:c>
      <x:c r="E45" s="17" t="str">
        <x:v>Papelería</x:v>
      </x:c>
      <x:c r="F45" s="17" t="str">
        <x:v>Biobío</x:v>
      </x:c>
      <x:c r="G45" s="17" t="str">
        <x:v>Web</x:v>
      </x:c>
      <x:c r="H45" s="17" t="n">
        <x:v>3</x:v>
      </x:c>
      <x:c r="I45" s="19" t="n">
        <x:v>7990</x:v>
      </x:c>
      <x:c r="J45" s="19" t="n">
        <x:v>2600</x:v>
      </x:c>
      <x:c r="K45" s="20" t="n">
        <x:v>0</x:v>
      </x:c>
      <x:c r="L45" s="17" t="str">
        <x:v>Completado</x:v>
      </x:c>
    </x:row>
    <x:row r="46">
      <x:c r="A46" s="17" t="str">
        <x:v>V-0045</x:v>
      </x:c>
      <x:c r="B46" s="18" t="n">
        <x:v>46178</x:v>
      </x:c>
      <x:c r="C46" s="17" t="str">
        <x:v>Cliente 011</x:v>
      </x:c>
      <x:c r="D46" s="17" t="str">
        <x:v>Planner</x:v>
      </x:c>
      <x:c r="E46" s="17" t="str">
        <x:v>Papelería</x:v>
      </x:c>
      <x:c r="F46" s="17" t="str">
        <x:v>VII Region</x:v>
      </x:c>
      <x:c r="G46" s="17" t="str">
        <x:v>instagram</x:v>
      </x:c>
      <x:c r="H46" s="17" t="n">
        <x:v>1</x:v>
      </x:c>
      <x:c r="I46" s="19" t="n">
        <x:v>12990</x:v>
      </x:c>
      <x:c r="J46" s="19" t="n">
        <x:v>4800</x:v>
      </x:c>
      <x:c r="K46" s="20" t="n">
        <x:v>0</x:v>
      </x:c>
      <x:c r="L46" s="17" t="str">
        <x:v>OK</x:v>
      </x:c>
    </x:row>
    <x:row r="47">
      <x:c r="A47" s="17" t="str">
        <x:v>V-0046</x:v>
      </x:c>
      <x:c r="B47" s="18" t="n">
        <x:v>46095</x:v>
      </x:c>
      <x:c r="C47" s="17" t="str">
        <x:v>Cliente 019</x:v>
      </x:c>
      <x:c r="D47" s="17" t="str">
        <x:v>Mochila</x:v>
      </x:c>
      <x:c r="E47" s="17" t="str">
        <x:v>Moda</x:v>
      </x:c>
      <x:c r="F47" s="17" t="str">
        <x:v>Biobio</x:v>
      </x:c>
      <x:c r="G47" s="17" t="str">
        <x:v>Marketplace</x:v>
      </x:c>
      <x:c r="H47" s="17" t="n">
        <x:v>2</x:v>
      </x:c>
      <x:c r="I47" s="19" t="n">
        <x:v>26990</x:v>
      </x:c>
      <x:c r="J47" s="19" t="n">
        <x:v>12000</x:v>
      </x:c>
      <x:c r="K47" s="20" t="n">
        <x:v>0.1</x:v>
      </x:c>
      <x:c r="L47" s="17" t="str">
        <x:v>Completado</x:v>
      </x:c>
    </x:row>
    <x:row r="48">
      <x:c r="A48" s="17" t="str">
        <x:v>V-0047</x:v>
      </x:c>
      <x:c r="B48" s="18" t="n">
        <x:v>46029</x:v>
      </x:c>
      <x:c r="C48" s="17" t="str">
        <x:v>Cliente 050</x:v>
      </x:c>
      <x:c r="D48" s="17" t="str">
        <x:v>Auriculares</x:v>
      </x:c>
      <x:c r="E48" s="17" t="str">
        <x:v>Tecnología</x:v>
      </x:c>
      <x:c r="F48" s="17" t="str">
        <x:v>Región del Maule</x:v>
      </x:c>
      <x:c r="G48" s="17" t="str">
        <x:v>Marketplace</x:v>
      </x:c>
      <x:c r="H48" s="17" t="n">
        <x:v>1</x:v>
      </x:c>
      <x:c r="I48" s="19" t="n">
        <x:v>24990</x:v>
      </x:c>
      <x:c r="J48" s="19" t="n">
        <x:v>14500</x:v>
      </x:c>
      <x:c r="K48" s="20" t="n">
        <x:v>0</x:v>
      </x:c>
      <x:c r="L48" s="17" t="str">
        <x:v>OK</x:v>
      </x:c>
    </x:row>
    <x:row r="49">
      <x:c r="A49" s="17" t="str">
        <x:v>V-0048</x:v>
      </x:c>
      <x:c r="B49" s="18" t="n">
        <x:v>46149</x:v>
      </x:c>
      <x:c r="C49" s="17" t="str">
        <x:v>Cliente 007</x:v>
      </x:c>
      <x:c r="D49" s="17" t="str">
        <x:v>Polera básica</x:v>
      </x:c>
      <x:c r="E49" s="17" t="str">
        <x:v>Moda</x:v>
      </x:c>
      <x:c r="F49" s="17" t="str">
        <x:v>Metropolitana</x:v>
      </x:c>
      <x:c r="G49" s="17" t="str">
        <x:v>Instagram</x:v>
      </x:c>
      <x:c r="H49" s="17" t="n">
        <x:v>1</x:v>
      </x:c>
      <x:c r="I49" s="19" t="n">
        <x:v>15990</x:v>
      </x:c>
      <x:c r="J49" s="19" t="n">
        <x:v>6800</x:v>
      </x:c>
      <x:c r="K49" s="20" t="n">
        <x:v>0</x:v>
      </x:c>
      <x:c r="L49" s="17" t="str">
        <x:v>OK</x:v>
      </x:c>
    </x:row>
    <x:row r="50">
      <x:c r="A50" s="17" t="str">
        <x:v>V-0049</x:v>
      </x:c>
      <x:c r="B50" s="18" t="n">
        <x:v>46165</x:v>
      </x:c>
      <x:c r="C50" s="17" t="str">
        <x:v>Cliente 057</x:v>
      </x:c>
      <x:c r="D50" s="17" t="str">
        <x:v>Lámpara</x:v>
      </x:c>
      <x:c r="E50" s="17" t="str">
        <x:v>Hogar</x:v>
      </x:c>
      <x:c r="F50" s="17" t="str">
        <x:v>RM</x:v>
      </x:c>
      <x:c r="G50" s="17" t="str">
        <x:v>WEB</x:v>
      </x:c>
      <x:c r="H50" s="17" t="n">
        <x:v>3</x:v>
      </x:c>
      <x:c r="I50" s="19" t="n">
        <x:v>21990</x:v>
      </x:c>
      <x:c r="J50" s="19" t="n">
        <x:v>11000</x:v>
      </x:c>
      <x:c r="K50" s="20" t="n">
        <x:v>0.05</x:v>
      </x:c>
      <x:c r="L50" s="17" t="str">
        <x:v>OK</x:v>
      </x:c>
    </x:row>
    <x:row r="51">
      <x:c r="A51" s="17" t="str">
        <x:v>V-0050</x:v>
      </x:c>
      <x:c r="B51" s="18" t="n">
        <x:v>46179</x:v>
      </x:c>
      <x:c r="C51" s="17" t="str">
        <x:v>Cliente 032</x:v>
      </x:c>
      <x:c r="D51" s="17" t="str">
        <x:v>Set de lápices</x:v>
      </x:c>
      <x:c r="E51" s="17" t="str">
        <x:v>Papelería</x:v>
      </x:c>
      <x:c r="F51" s="17" t="str">
        <x:v>Región del Maule</x:v>
      </x:c>
      <x:c r="G51" s="17" t="str">
        <x:v>Web</x:v>
      </x:c>
      <x:c r="H51" s="17" t="n">
        <x:v>3</x:v>
      </x:c>
      <x:c r="I51" s="19" t="n">
        <x:v>7990</x:v>
      </x:c>
      <x:c r="J51" s="19" t="n">
        <x:v>2600</x:v>
      </x:c>
      <x:c r="K51" s="20" t="n">
        <x:v>0</x:v>
      </x:c>
      <x:c r="L51" s="17" t="str">
        <x:v>completado</x:v>
      </x:c>
    </x:row>
    <x:row r="52">
      <x:c r="A52" s="17" t="str">
        <x:v>V-0051</x:v>
      </x:c>
      <x:c r="B52" s="18" t="n">
        <x:v>46238</x:v>
      </x:c>
      <x:c r="C52" s="17" t="str">
        <x:v>Cliente 043</x:v>
      </x:c>
      <x:c r="D52" s="17" t="str">
        <x:v>Planner</x:v>
      </x:c>
      <x:c r="E52" s="17" t="str">
        <x:v>Papelería</x:v>
      </x:c>
      <x:c r="F52" s="17" t="str">
        <x:v>Región del Maule</x:v>
      </x:c>
      <x:c r="G52" s="17" t="str">
        <x:v>WEB</x:v>
      </x:c>
      <x:c r="H52" s="17" t="n">
        <x:v>1</x:v>
      </x:c>
      <x:c r="I52" s="19" t="n">
        <x:v>12990</x:v>
      </x:c>
      <x:c r="J52" s="19" t="n">
        <x:v>4800</x:v>
      </x:c>
      <x:c r="K52" s="20" t="n">
        <x:v>0</x:v>
      </x:c>
      <x:c r="L52" s="17" t="str">
        <x:v>completado</x:v>
      </x:c>
    </x:row>
    <x:row r="53">
      <x:c r="A53" s="17" t="str">
        <x:v>V-0052</x:v>
      </x:c>
      <x:c r="B53" s="18" t="n">
        <x:v>46104</x:v>
      </x:c>
      <x:c r="C53" s="17" t="str">
        <x:v>Cliente 043</x:v>
      </x:c>
      <x:c r="D53" s="17" t="str">
        <x:v>Mochila</x:v>
      </x:c>
      <x:c r="E53" s="17" t="str">
        <x:v>Moda</x:v>
      </x:c>
      <x:c r="F53" s="17" t="str">
        <x:v>Valparaiso</x:v>
      </x:c>
      <x:c r="G53" s="17" t="str">
        <x:v>Web</x:v>
      </x:c>
      <x:c r="H53" s="17" t="n">
        <x:v>1</x:v>
      </x:c>
      <x:c r="I53" s="19" t="n">
        <x:v>26990</x:v>
      </x:c>
      <x:c r="J53" s="19" t="n">
        <x:v>12000</x:v>
      </x:c>
      <x:c r="K53" s="20" t="n">
        <x:v>0</x:v>
      </x:c>
      <x:c r="L53" s="17" t="str">
        <x:v>Completado</x:v>
      </x:c>
    </x:row>
    <x:row r="54">
      <x:c r="A54" s="17" t="str">
        <x:v>V-0053</x:v>
      </x:c>
      <x:c r="B54" s="18" t="n">
        <x:v>46161</x:v>
      </x:c>
      <x:c r="C54" s="17" t="str">
        <x:v>Cliente 074</x:v>
      </x:c>
      <x:c r="D54" s="17" t="str">
        <x:v>Polerón</x:v>
      </x:c>
      <x:c r="E54" s="17" t="str">
        <x:v>Moda</x:v>
      </x:c>
      <x:c r="F54" s="17" t="str">
        <x:v>Valparaíso</x:v>
      </x:c>
      <x:c r="G54" s="17" t="str">
        <x:v>web</x:v>
      </x:c>
      <x:c r="H54" s="17" t="n">
        <x:v>1</x:v>
      </x:c>
      <x:c r="I54" s="19" t="n">
        <x:v>29990</x:v>
      </x:c>
      <x:c r="J54" s="19" t="n">
        <x:v>13500</x:v>
      </x:c>
      <x:c r="K54" s="20" t="n">
        <x:v>0.1</x:v>
      </x:c>
      <x:c r="L54" s="17" t="str">
        <x:v>Cancelado</x:v>
      </x:c>
    </x:row>
    <x:row r="55">
      <x:c r="A55" s="17" t="str">
        <x:v>V-0054</x:v>
      </x:c>
      <x:c r="B55" s="18" t="n">
        <x:v>46120</x:v>
      </x:c>
      <x:c r="C55" s="17" t="str">
        <x:v>Cliente 029</x:v>
      </x:c>
      <x:c r="D55" s="17" t="str">
        <x:v>Polerón</x:v>
      </x:c>
      <x:c r="E55" s="17" t="str">
        <x:v>Moda</x:v>
      </x:c>
      <x:c r="F55" s="17" t="str">
        <x:v>Biobío</x:v>
      </x:c>
      <x:c r="G55" s="17" t="str">
        <x:v>IG</x:v>
      </x:c>
      <x:c r="H55" s="17" t="n">
        <x:v>1</x:v>
      </x:c>
      <x:c r="I55" s="19" t="n">
        <x:v>29990</x:v>
      </x:c>
      <x:c r="J55" s="19" t="n">
        <x:v>13500</x:v>
      </x:c>
      <x:c r="K55" s="20" t="n">
        <x:v>0</x:v>
      </x:c>
      <x:c r="L55" s="17" t="str">
        <x:v>OK</x:v>
      </x:c>
    </x:row>
    <x:row r="56">
      <x:c r="A56" s="17" t="str">
        <x:v>V-0055</x:v>
      </x:c>
      <x:c r="B56" s="18" t="n">
        <x:v>46147</x:v>
      </x:c>
      <x:c r="C56" s="17" t="str">
        <x:v>Cliente 060</x:v>
      </x:c>
      <x:c r="D56" s="17" t="str">
        <x:v>Lámpara</x:v>
      </x:c>
      <x:c r="E56" s="17" t="str">
        <x:v>Hogar</x:v>
      </x:c>
      <x:c r="F56" s="17" t="str">
        <x:v>Maule</x:v>
      </x:c>
      <x:c r="G56" s="17" t="str">
        <x:v>web</x:v>
      </x:c>
      <x:c r="H56" s="17" t="n">
        <x:v>1</x:v>
      </x:c>
      <x:c r="I56" s="19" t="n">
        <x:v>21990</x:v>
      </x:c>
      <x:c r="J56" s="19" t="n">
        <x:v>11000</x:v>
      </x:c>
      <x:c r="K56" s="20" t="n">
        <x:v>0.05</x:v>
      </x:c>
      <x:c r="L56" s="17" t="str">
        <x:v>completado</x:v>
      </x:c>
    </x:row>
    <x:row r="57">
      <x:c r="A57" s="17" t="str">
        <x:v>V-0056</x:v>
      </x:c>
      <x:c r="B57" s="18" t="n">
        <x:v>46258</x:v>
      </x:c>
      <x:c r="C57" s="17" t="str">
        <x:v>Cliente 060</x:v>
      </x:c>
      <x:c r="D57" s="17" t="str">
        <x:v>Mouse</x:v>
      </x:c>
      <x:c r="E57" s="17" t="str">
        <x:v>Tecnología</x:v>
      </x:c>
      <x:c r="F57" s="17" t="str">
        <x:v>RM</x:v>
      </x:c>
      <x:c r="G57" s="17" t="str">
        <x:v>instagram</x:v>
      </x:c>
      <x:c r="H57" s="17" t="n">
        <x:v>4</x:v>
      </x:c>
      <x:c r="I57" s="19" t="n">
        <x:v>18990</x:v>
      </x:c>
      <x:c r="J57" s="19" t="n">
        <x:v>9800</x:v>
      </x:c>
      <x:c r="K57" s="20" t="n">
        <x:v>0</x:v>
      </x:c>
      <x:c r="L57" s="17" t="str">
        <x:v>OK</x:v>
      </x:c>
    </x:row>
    <x:row r="58">
      <x:c r="A58" s="17" t="str">
        <x:v>V-0057</x:v>
      </x:c>
      <x:c r="B58" s="18" t="n">
        <x:v>46069</x:v>
      </x:c>
      <x:c r="C58" s="17" t="str">
        <x:v>Cliente 054</x:v>
      </x:c>
      <x:c r="D58" s="17" t="str">
        <x:v>Auriculares</x:v>
      </x:c>
      <x:c r="E58" s="17" t="str">
        <x:v>Tecnología</x:v>
      </x:c>
      <x:c r="F58" s="17" t="str">
        <x:v>Biobio</x:v>
      </x:c>
      <x:c r="G58" s="17" t="str">
        <x:v>WEB</x:v>
      </x:c>
      <x:c r="H58" s="17" t="n">
        <x:v>1</x:v>
      </x:c>
      <x:c r="I58" s="19" t="n">
        <x:v>24990</x:v>
      </x:c>
      <x:c r="J58" s="19" t="n">
        <x:v>14500</x:v>
      </x:c>
      <x:c r="K58" s="20" t="n">
        <x:v>0</x:v>
      </x:c>
      <x:c r="L58" s="17" t="str">
        <x:v>completado</x:v>
      </x:c>
    </x:row>
    <x:row r="59">
      <x:c r="A59" s="17" t="str">
        <x:v>V-0058</x:v>
      </x:c>
      <x:c r="B59" s="18" t="n">
        <x:v>46087</x:v>
      </x:c>
      <x:c r="C59" s="17" t="str">
        <x:v>Cliente 004</x:v>
      </x:c>
      <x:c r="D59" s="17" t="str">
        <x:v>Teclado</x:v>
      </x:c>
      <x:c r="E59" s="17" t="str">
        <x:v>Tecnología</x:v>
      </x:c>
      <x:c r="F59" s="17" t="str">
        <x:v>RM</x:v>
      </x:c>
      <x:c r="G59" s="17" t="str">
        <x:v>Web</x:v>
      </x:c>
      <x:c r="H59" s="17" t="n">
        <x:v>1</x:v>
      </x:c>
      <x:c r="I59" s="19" t="n">
        <x:v>32990</x:v>
      </x:c>
      <x:c r="J59" s="19" t="n">
        <x:v>18500</x:v>
      </x:c>
      <x:c r="K59" s="20" t="n">
        <x:v>0</x:v>
      </x:c>
      <x:c r="L59" s="17" t="str">
        <x:v>OK</x:v>
      </x:c>
    </x:row>
    <x:row r="60">
      <x:c r="A60" s="17" t="str">
        <x:v>V-0059</x:v>
      </x:c>
      <x:c r="B60" s="18" t="n">
        <x:v>46086</x:v>
      </x:c>
      <x:c r="C60" s="17" t="str">
        <x:v>Cliente 033</x:v>
      </x:c>
      <x:c r="D60" s="17" t="str">
        <x:v>Lámpara</x:v>
      </x:c>
      <x:c r="E60" s="17" t="str">
        <x:v>Hogar</x:v>
      </x:c>
      <x:c r="F60" s="17" t="str">
        <x:v>Valparaiso</x:v>
      </x:c>
      <x:c r="G60" s="17" t="str">
        <x:v>web</x:v>
      </x:c>
      <x:c r="H60" s="17" t="n">
        <x:v>2</x:v>
      </x:c>
      <x:c r="I60" s="19" t="n">
        <x:v>21990</x:v>
      </x:c>
      <x:c r="J60" s="19" t="n">
        <x:v>11000</x:v>
      </x:c>
      <x:c r="K60" s="20" t="n">
        <x:v>0</x:v>
      </x:c>
      <x:c r="L60" s="17" t="str">
        <x:v>Completado</x:v>
      </x:c>
    </x:row>
    <x:row r="61">
      <x:c r="A61" s="17" t="str">
        <x:v>V-0060</x:v>
      </x:c>
      <x:c r="B61" s="18" t="n">
        <x:v>46219</x:v>
      </x:c>
      <x:c r="C61" s="17" t="str">
        <x:v>Cliente 049</x:v>
      </x:c>
      <x:c r="D61" s="17" t="str">
        <x:v>Botella térmica</x:v>
      </x:c>
      <x:c r="E61" s="17" t="str">
        <x:v>Hogar</x:v>
      </x:c>
      <x:c r="F61" s="17" t="str">
        <x:v>Metropolitana</x:v>
      </x:c>
      <x:c r="G61" s="17" t="str">
        <x:v>Marketplace</x:v>
      </x:c>
      <x:c r="H61" s="17" t="n">
        <x:v>1</x:v>
      </x:c>
      <x:c r="I61" s="19" t="n">
        <x:v>17990</x:v>
      </x:c>
      <x:c r="J61" s="19" t="n">
        <x:v>8300</x:v>
      </x:c>
      <x:c r="K61" s="20" t="n">
        <x:v>0</x:v>
      </x:c>
      <x:c r="L61" s="17" t="str">
        <x:v>completado</x:v>
      </x:c>
    </x:row>
    <x:row r="62">
      <x:c r="A62" s="17" t="str">
        <x:v>V-0061</x:v>
      </x:c>
      <x:c r="B62" s="18" t="n">
        <x:v>46124</x:v>
      </x:c>
      <x:c r="C62" s="17" t="str">
        <x:v>Cliente 073</x:v>
      </x:c>
      <x:c r="D62" s="17" t="str">
        <x:v>Set de lápices</x:v>
      </x:c>
      <x:c r="E62" s="17" t="str">
        <x:v>Papelería</x:v>
      </x:c>
      <x:c r="F62" s="17" t="str">
        <x:v>Valparaiso</x:v>
      </x:c>
      <x:c r="G62" s="17" t="str">
        <x:v>IG</x:v>
      </x:c>
      <x:c r="H62" s="17" t="n">
        <x:v>1</x:v>
      </x:c>
      <x:c r="I62" s="19" t="n">
        <x:v>7990</x:v>
      </x:c>
      <x:c r="J62" s="19" t="n">
        <x:v>2600</x:v>
      </x:c>
      <x:c r="K62" s="20" t="n">
        <x:v>0.1</x:v>
      </x:c>
      <x:c r="L62" s="17" t="str">
        <x:v>PENDIENTE</x:v>
      </x:c>
    </x:row>
    <x:row r="63">
      <x:c r="A63" s="17" t="str">
        <x:v>V-0062</x:v>
      </x:c>
      <x:c r="B63" s="18" t="n">
        <x:v>46223</x:v>
      </x:c>
      <x:c r="C63" s="17" t="str">
        <x:v>Cliente 063</x:v>
      </x:c>
      <x:c r="D63" s="17" t="str">
        <x:v>Auriculares</x:v>
      </x:c>
      <x:c r="E63" s="17" t="str">
        <x:v>Tecnología</x:v>
      </x:c>
      <x:c r="F63" s="17" t="str">
        <x:v>Región del Maule</x:v>
      </x:c>
      <x:c r="G63" s="17" t="str">
        <x:v>web</x:v>
      </x:c>
      <x:c r="H63" s="17" t="n">
        <x:v>1</x:v>
      </x:c>
      <x:c r="I63" s="19" t="n">
        <x:v>24990</x:v>
      </x:c>
      <x:c r="J63" s="19" t="n">
        <x:v>14500</x:v>
      </x:c>
      <x:c r="K63" s="20" t="n">
        <x:v>0.1</x:v>
      </x:c>
      <x:c r="L63" s="17" t="str">
        <x:v>Completado</x:v>
      </x:c>
    </x:row>
    <x:row r="64">
      <x:c r="A64" s="17" t="str">
        <x:v>V-0063</x:v>
      </x:c>
      <x:c r="B64" s="18" t="n">
        <x:v>46050</x:v>
      </x:c>
      <x:c r="C64" s="17" t="str">
        <x:v>Cliente 069</x:v>
      </x:c>
      <x:c r="D64" s="17" t="str">
        <x:v>Polera básica</x:v>
      </x:c>
      <x:c r="E64" s="17" t="str">
        <x:v>Moda</x:v>
      </x:c>
      <x:c r="F64" s="17" t="str">
        <x:v>Región del Maule</x:v>
      </x:c>
      <x:c r="G64" s="17" t="str">
        <x:v>Web</x:v>
      </x:c>
      <x:c r="H64" s="17" t="n">
        <x:v>4</x:v>
      </x:c>
      <x:c r="I64" s="19" t="n">
        <x:v>15990</x:v>
      </x:c>
      <x:c r="J64" s="19" t="n">
        <x:v>6800</x:v>
      </x:c>
      <x:c r="K64" s="20" t="n">
        <x:v>0</x:v>
      </x:c>
      <x:c r="L64" s="17" t="str">
        <x:v>OK</x:v>
      </x:c>
    </x:row>
    <x:row r="65">
      <x:c r="A65" s="17" t="str">
        <x:v>V-0064</x:v>
      </x:c>
      <x:c r="B65" s="18" t="n">
        <x:v>46221</x:v>
      </x:c>
      <x:c r="C65" s="17" t="str">
        <x:v>Cliente 060</x:v>
      </x:c>
      <x:c r="D65" s="17" t="str">
        <x:v>Polerón</x:v>
      </x:c>
      <x:c r="E65" s="17" t="str">
        <x:v>Moda</x:v>
      </x:c>
      <x:c r="F65" s="17" t="str">
        <x:v>Biobío</x:v>
      </x:c>
      <x:c r="G65" s="17" t="str">
        <x:v>Marketplace</x:v>
      </x:c>
      <x:c r="H65" s="17" t="n">
        <x:v>1</x:v>
      </x:c>
      <x:c r="I65" s="19" t="n">
        <x:v>29990</x:v>
      </x:c>
      <x:c r="J65" s="19" t="n">
        <x:v>13500</x:v>
      </x:c>
      <x:c r="K65" s="20" t="n">
        <x:v>0</x:v>
      </x:c>
      <x:c r="L65" s="17" t="str">
        <x:v>completado</x:v>
      </x:c>
    </x:row>
    <x:row r="66">
      <x:c r="A66" s="17" t="str">
        <x:v>V-0065</x:v>
      </x:c>
      <x:c r="B66" s="18" t="n">
        <x:v>46168</x:v>
      </x:c>
      <x:c r="C66" s="17" t="str">
        <x:v>Cliente 034</x:v>
      </x:c>
      <x:c r="D66" s="17" t="str">
        <x:v>Cuaderno premium</x:v>
      </x:c>
      <x:c r="E66" s="17" t="str">
        <x:v>Papelería</x:v>
      </x:c>
      <x:c r="F66" s="17" t="str">
        <x:v>Biobio</x:v>
      </x:c>
      <x:c r="G66" s="17" t="str">
        <x:v>WEB</x:v>
      </x:c>
      <x:c r="H66" s="17" t="n">
        <x:v>2</x:v>
      </x:c>
      <x:c r="I66" s="19" t="n">
        <x:v>9990</x:v>
      </x:c>
      <x:c r="J66" s="19" t="n">
        <x:v>3900</x:v>
      </x:c>
      <x:c r="K66" s="20" t="n">
        <x:v>0</x:v>
      </x:c>
      <x:c r="L66" s="17" t="str">
        <x:v>Completado</x:v>
      </x:c>
    </x:row>
    <x:row r="67">
      <x:c r="A67" s="17" t="str">
        <x:v>V-0066</x:v>
      </x:c>
      <x:c r="B67" s="18" t="n">
        <x:v>46110</x:v>
      </x:c>
      <x:c r="C67" s="17" t="str">
        <x:v>Cliente 072</x:v>
      </x:c>
      <x:c r="D67" s="17" t="str">
        <x:v>Organizador</x:v>
      </x:c>
      <x:c r="E67" s="17" t="str">
        <x:v>Hogar</x:v>
      </x:c>
      <x:c r="F67" s="17" t="str">
        <x:v>VIII Region</x:v>
      </x:c>
      <x:c r="G67" s="17" t="str">
        <x:v>Web</x:v>
      </x:c>
      <x:c r="H67" s="17" t="n">
        <x:v>3</x:v>
      </x:c>
      <x:c r="I67" s="19" t="n">
        <x:v>14990</x:v>
      </x:c>
      <x:c r="J67" s="19" t="n">
        <x:v>7200</x:v>
      </x:c>
      <x:c r="K67" s="20" t="n">
        <x:v>0</x:v>
      </x:c>
      <x:c r="L67" s="17" t="str">
        <x:v>OK</x:v>
      </x:c>
    </x:row>
    <x:row r="68">
      <x:c r="A68" s="17" t="str">
        <x:v>V-0067</x:v>
      </x:c>
      <x:c r="B68" s="18" t="n">
        <x:v>46217</x:v>
      </x:c>
      <x:c r="C68" s="17" t="str">
        <x:v>Cliente 040</x:v>
      </x:c>
      <x:c r="D68" s="17" t="str">
        <x:v>Lámpara</x:v>
      </x:c>
      <x:c r="E68" s="17" t="str">
        <x:v>Hogar</x:v>
      </x:c>
      <x:c r="F68" s="17" t="str">
        <x:v>VII Region</x:v>
      </x:c>
      <x:c r="G68" s="17" t="str">
        <x:v>Instagram</x:v>
      </x:c>
      <x:c r="H68" s="17" t="n">
        <x:v>2</x:v>
      </x:c>
      <x:c r="I68" s="19" t="n">
        <x:v>21990</x:v>
      </x:c>
      <x:c r="J68" s="19" t="n">
        <x:v>11000</x:v>
      </x:c>
      <x:c r="K68" s="20" t="n">
        <x:v>0.05</x:v>
      </x:c>
      <x:c r="L68" s="17" t="str">
        <x:v>completado</x:v>
      </x:c>
    </x:row>
    <x:row r="69">
      <x:c r="A69" s="17" t="str">
        <x:v>V-0068</x:v>
      </x:c>
      <x:c r="B69" s="18" t="n">
        <x:v>46192</x:v>
      </x:c>
      <x:c r="C69" s="17" t="str">
        <x:v>Cliente 040</x:v>
      </x:c>
      <x:c r="D69" s="17" t="str">
        <x:v>Cuaderno premium</x:v>
      </x:c>
      <x:c r="E69" s="17" t="str">
        <x:v>Papelería</x:v>
      </x:c>
      <x:c r="F69" s="17" t="str">
        <x:v>Biobío</x:v>
      </x:c>
      <x:c r="G69" s="17" t="str">
        <x:v>MARKETPLACE</x:v>
      </x:c>
      <x:c r="H69" s="17" t="n">
        <x:v>1</x:v>
      </x:c>
      <x:c r="I69" s="19" t="n">
        <x:v>9990</x:v>
      </x:c>
      <x:c r="J69" s="19" t="n">
        <x:v>3900</x:v>
      </x:c>
      <x:c r="K69" s="20" t="n">
        <x:v>0</x:v>
      </x:c>
      <x:c r="L69" s="17" t="str">
        <x:v>OK</x:v>
      </x:c>
    </x:row>
    <x:row r="70">
      <x:c r="A70" s="17" t="str">
        <x:v>V-0069</x:v>
      </x:c>
      <x:c r="B70" s="18" t="n">
        <x:v>46087</x:v>
      </x:c>
      <x:c r="C70" s="17" t="str">
        <x:v>Cliente 028</x:v>
      </x:c>
      <x:c r="D70" s="17" t="str">
        <x:v>Lámpara</x:v>
      </x:c>
      <x:c r="E70" s="17" t="str">
        <x:v>Hogar</x:v>
      </x:c>
      <x:c r="F70" s="17" t="str">
        <x:v>Valparaíso</x:v>
      </x:c>
      <x:c r="G70" s="17" t="str">
        <x:v>web</x:v>
      </x:c>
      <x:c r="H70" s="17" t="n">
        <x:v>1</x:v>
      </x:c>
      <x:c r="I70" s="19" t="n">
        <x:v>21990</x:v>
      </x:c>
      <x:c r="J70" s="19" t="n">
        <x:v>11000</x:v>
      </x:c>
      <x:c r="K70" s="20" t="n">
        <x:v>0</x:v>
      </x:c>
      <x:c r="L70" s="17" t="str">
        <x:v>CANCEL</x:v>
      </x:c>
    </x:row>
    <x:row r="71">
      <x:c r="A71" s="17" t="str">
        <x:v>V-0070</x:v>
      </x:c>
      <x:c r="B71" s="18" t="n">
        <x:v>46212</x:v>
      </x:c>
      <x:c r="C71" s="17" t="str">
        <x:v>Cliente 069</x:v>
      </x:c>
      <x:c r="D71" s="17" t="str">
        <x:v>Polerón</x:v>
      </x:c>
      <x:c r="E71" s="17" t="str">
        <x:v>Moda</x:v>
      </x:c>
      <x:c r="F71" s="17" t="str">
        <x:v>Biobio</x:v>
      </x:c>
      <x:c r="G71" s="17" t="str">
        <x:v>market place</x:v>
      </x:c>
      <x:c r="H71" s="17" t="n">
        <x:v>1</x:v>
      </x:c>
      <x:c r="I71" s="19" t="n">
        <x:v>29990</x:v>
      </x:c>
      <x:c r="J71" s="19" t="n">
        <x:v>13500</x:v>
      </x:c>
      <x:c r="K71" s="20" t="n">
        <x:v>0</x:v>
      </x:c>
      <x:c r="L71" s="17" t="str">
        <x:v>Completado</x:v>
      </x:c>
    </x:row>
    <x:row r="72">
      <x:c r="A72" s="17" t="str">
        <x:v>V-0071</x:v>
      </x:c>
      <x:c r="B72" s="18" t="n">
        <x:v>46055</x:v>
      </x:c>
      <x:c r="C72" s="17" t="str">
        <x:v>Cliente 002</x:v>
      </x:c>
      <x:c r="D72" s="17" t="str">
        <x:v>Organizador</x:v>
      </x:c>
      <x:c r="E72" s="17" t="str">
        <x:v>Hogar</x:v>
      </x:c>
      <x:c r="F72" s="17" t="str">
        <x:v>Santiago</x:v>
      </x:c>
      <x:c r="G72" s="17" t="str">
        <x:v>Web</x:v>
      </x:c>
      <x:c r="H72" s="17" t="n">
        <x:v>1</x:v>
      </x:c>
      <x:c r="I72" s="19" t="n">
        <x:v>14990</x:v>
      </x:c>
      <x:c r="J72" s="19" t="n">
        <x:v>7200</x:v>
      </x:c>
      <x:c r="K72" s="20" t="n">
        <x:v>0</x:v>
      </x:c>
      <x:c r="L72" s="17" t="str">
        <x:v>completado</x:v>
      </x:c>
    </x:row>
    <x:row r="73">
      <x:c r="A73" s="17" t="str">
        <x:v>V-0072</x:v>
      </x:c>
      <x:c r="B73" s="18" t="n">
        <x:v>46169</x:v>
      </x:c>
      <x:c r="C73" s="17" t="str">
        <x:v>Cliente 009</x:v>
      </x:c>
      <x:c r="D73" s="17" t="str">
        <x:v>Organizador</x:v>
      </x:c>
      <x:c r="E73" s="17" t="str">
        <x:v>Hogar</x:v>
      </x:c>
      <x:c r="F73" s="17" t="str">
        <x:v>VII Region</x:v>
      </x:c>
      <x:c r="G73" s="17" t="str">
        <x:v>Web</x:v>
      </x:c>
      <x:c r="H73" s="17" t="n">
        <x:v>1</x:v>
      </x:c>
      <x:c r="I73" s="19" t="n">
        <x:v>14990</x:v>
      </x:c>
      <x:c r="J73" s="19" t="n">
        <x:v>7200</x:v>
      </x:c>
      <x:c r="K73" s="20" t="n">
        <x:v>0</x:v>
      </x:c>
      <x:c r="L73" s="17" t="str">
        <x:v>completado</x:v>
      </x:c>
    </x:row>
    <x:row r="74">
      <x:c r="A74" s="17" t="str">
        <x:v>V-0073</x:v>
      </x:c>
      <x:c r="B74" s="18" t="n">
        <x:v>46125</x:v>
      </x:c>
      <x:c r="C74" s="17" t="str">
        <x:v>Cliente 016</x:v>
      </x:c>
      <x:c r="D74" s="17" t="str">
        <x:v>Polerón</x:v>
      </x:c>
      <x:c r="E74" s="17" t="str">
        <x:v>Moda</x:v>
      </x:c>
      <x:c r="F74" s="17" t="str">
        <x:v>Metropolitana</x:v>
      </x:c>
      <x:c r="G74" s="17" t="str">
        <x:v>web</x:v>
      </x:c>
      <x:c r="H74" s="17" t="n">
        <x:v>1</x:v>
      </x:c>
      <x:c r="I74" s="19" t="n">
        <x:v>29990</x:v>
      </x:c>
      <x:c r="J74" s="19" t="n">
        <x:v>13500</x:v>
      </x:c>
      <x:c r="K74" s="20" t="n">
        <x:v>0.15</x:v>
      </x:c>
      <x:c r="L74" s="17" t="str">
        <x:v>Cancelado</x:v>
      </x:c>
    </x:row>
    <x:row r="75">
      <x:c r="A75" s="17" t="str">
        <x:v>V-0074</x:v>
      </x:c>
      <x:c r="B75" s="18" t="n">
        <x:v>46165</x:v>
      </x:c>
      <x:c r="C75" s="17" t="str">
        <x:v>Cliente 040</x:v>
      </x:c>
      <x:c r="D75" s="17" t="str">
        <x:v>Polera básica</x:v>
      </x:c>
      <x:c r="E75" s="17" t="str">
        <x:v>Moda</x:v>
      </x:c>
      <x:c r="F75" s="17" t="str">
        <x:v>V Region</x:v>
      </x:c>
      <x:c r="G75" s="17" t="str">
        <x:v>WEB</x:v>
      </x:c>
      <x:c r="H75" s="17" t="n">
        <x:v>2</x:v>
      </x:c>
      <x:c r="I75" s="19" t="n">
        <x:v>15990</x:v>
      </x:c>
      <x:c r="J75" s="19" t="n">
        <x:v>6800</x:v>
      </x:c>
      <x:c r="K75" s="20" t="n">
        <x:v>0.15</x:v>
      </x:c>
      <x:c r="L75" s="17" t="str">
        <x:v>OK</x:v>
      </x:c>
    </x:row>
    <x:row r="76">
      <x:c r="A76" s="17" t="str">
        <x:v>V-0075</x:v>
      </x:c>
      <x:c r="B76" s="18" t="n">
        <x:v>46168</x:v>
      </x:c>
      <x:c r="C76" s="17" t="str">
        <x:v>Cliente 071</x:v>
      </x:c>
      <x:c r="D76" s="17" t="str">
        <x:v>Cuaderno premium</x:v>
      </x:c>
      <x:c r="E76" s="17" t="str">
        <x:v>Papelería</x:v>
      </x:c>
      <x:c r="F76" s="17" t="str">
        <x:v>Metropolitana</x:v>
      </x:c>
      <x:c r="G76" s="17" t="str">
        <x:v>IG</x:v>
      </x:c>
      <x:c r="H76" s="17" t="n">
        <x:v>1</x:v>
      </x:c>
      <x:c r="I76" s="19" t="n">
        <x:v>9990</x:v>
      </x:c>
      <x:c r="J76" s="19" t="n">
        <x:v>3900</x:v>
      </x:c>
      <x:c r="K76" s="20" t="n">
        <x:v>0</x:v>
      </x:c>
      <x:c r="L76" s="17" t="str">
        <x:v>Completado</x:v>
      </x:c>
    </x:row>
    <x:row r="77">
      <x:c r="A77" s="17" t="str">
        <x:v>V-0076</x:v>
      </x:c>
      <x:c r="B77" s="18" t="n">
        <x:v>46042</x:v>
      </x:c>
      <x:c r="C77" s="17" t="str">
        <x:v>Cliente 059</x:v>
      </x:c>
      <x:c r="D77" s="17" t="str">
        <x:v>Mouse</x:v>
      </x:c>
      <x:c r="E77" s="17" t="str">
        <x:v>Tecnología</x:v>
      </x:c>
      <x:c r="F77" s="17" t="str">
        <x:v>Región del Maule</x:v>
      </x:c>
      <x:c r="G77" s="17" t="str">
        <x:v>IG</x:v>
      </x:c>
      <x:c r="H77" s="17" t="n">
        <x:v>1</x:v>
      </x:c>
      <x:c r="I77" s="19" t="n">
        <x:v>18990</x:v>
      </x:c>
      <x:c r="J77" s="19" t="n">
        <x:v>9800</x:v>
      </x:c>
      <x:c r="K77" s="20" t="n">
        <x:v>0.05</x:v>
      </x:c>
      <x:c r="L77" s="17" t="str">
        <x:v>completado</x:v>
      </x:c>
    </x:row>
    <x:row r="78">
      <x:c r="A78" s="17" t="str">
        <x:v>V-0077</x:v>
      </x:c>
      <x:c r="B78" s="18" t="n">
        <x:v>46041</x:v>
      </x:c>
      <x:c r="C78" s="17" t="str">
        <x:v>Cliente 020</x:v>
      </x:c>
      <x:c r="D78" s="17" t="str">
        <x:v>Planner</x:v>
      </x:c>
      <x:c r="E78" s="17" t="str">
        <x:v>Papelería</x:v>
      </x:c>
      <x:c r="F78" s="17" t="str">
        <x:v>VIII Region</x:v>
      </x:c>
      <x:c r="G78" s="17" t="str">
        <x:v>Instagram</x:v>
      </x:c>
      <x:c r="H78" s="17" t="n">
        <x:v>1</x:v>
      </x:c>
      <x:c r="I78" s="19" t="n">
        <x:v>12990</x:v>
      </x:c>
      <x:c r="J78" s="19" t="n">
        <x:v>4800</x:v>
      </x:c>
      <x:c r="K78" s="20" t="n">
        <x:v>0</x:v>
      </x:c>
      <x:c r="L78" s="17" t="str">
        <x:v>OK</x:v>
      </x:c>
    </x:row>
    <x:row r="79">
      <x:c r="A79" s="17" t="str">
        <x:v>V-0078</x:v>
      </x:c>
      <x:c r="B79" s="18" t="n">
        <x:v>46255</x:v>
      </x:c>
      <x:c r="C79" s="17" t="str">
        <x:v>Cliente 057</x:v>
      </x:c>
      <x:c r="D79" s="17" t="str">
        <x:v>Organizador</x:v>
      </x:c>
      <x:c r="E79" s="17" t="str">
        <x:v>Hogar</x:v>
      </x:c>
      <x:c r="F79" s="17" t="str">
        <x:v>Metropolitana</x:v>
      </x:c>
      <x:c r="G79" s="17" t="str">
        <x:v>WEB</x:v>
      </x:c>
      <x:c r="H79" s="17" t="n">
        <x:v>2</x:v>
      </x:c>
      <x:c r="I79" s="19" t="n">
        <x:v>14990</x:v>
      </x:c>
      <x:c r="J79" s="19" t="n">
        <x:v>7200</x:v>
      </x:c>
      <x:c r="K79" s="20" t="n">
        <x:v>0.1</x:v>
      </x:c>
      <x:c r="L79" s="17" t="str">
        <x:v>OK</x:v>
      </x:c>
    </x:row>
    <x:row r="80">
      <x:c r="A80" s="17" t="str">
        <x:v>V-0079</x:v>
      </x:c>
      <x:c r="B80" s="18" t="n">
        <x:v>46054</x:v>
      </x:c>
      <x:c r="C80" s="17" t="str">
        <x:v>Cliente 056</x:v>
      </x:c>
      <x:c r="D80" s="17" t="str">
        <x:v>Polerón</x:v>
      </x:c>
      <x:c r="E80" s="17" t="str">
        <x:v>Moda</x:v>
      </x:c>
      <x:c r="F80" s="17" t="str">
        <x:v>VII Region</x:v>
      </x:c>
      <x:c r="G80" s="17" t="str">
        <x:v>WEB</x:v>
      </x:c>
      <x:c r="H80" s="17" t="n">
        <x:v>2</x:v>
      </x:c>
      <x:c r="I80" s="19" t="n">
        <x:v>29990</x:v>
      </x:c>
      <x:c r="J80" s="19" t="n">
        <x:v>13500</x:v>
      </x:c>
      <x:c r="K80" s="20" t="n">
        <x:v>0</x:v>
      </x:c>
      <x:c r="L80" s="17" t="str">
        <x:v>OK</x:v>
      </x:c>
    </x:row>
    <x:row r="81">
      <x:c r="A81" s="17" t="str">
        <x:v>V-0080</x:v>
      </x:c>
      <x:c r="B81" s="18" t="n">
        <x:v>46211</x:v>
      </x:c>
      <x:c r="C81" s="17" t="str">
        <x:v>Cliente 003</x:v>
      </x:c>
      <x:c r="D81" s="17" t="str">
        <x:v>Botella térmica</x:v>
      </x:c>
      <x:c r="E81" s="17" t="str">
        <x:v>Hogar</x:v>
      </x:c>
      <x:c r="F81" s="17" t="str">
        <x:v>Metropolitana</x:v>
      </x:c>
      <x:c r="G81" s="17" t="str">
        <x:v>web</x:v>
      </x:c>
      <x:c r="H81" s="17" t="n">
        <x:v>2</x:v>
      </x:c>
      <x:c r="I81" s="19" t="n">
        <x:v>17990</x:v>
      </x:c>
      <x:c r="J81" s="19" t="n">
        <x:v>8300</x:v>
      </x:c>
      <x:c r="K81" s="20" t="n">
        <x:v>0.05</x:v>
      </x:c>
      <x:c r="L81" s="17" t="str">
        <x:v>PENDIENTE</x:v>
      </x:c>
    </x:row>
    <x:row r="82">
      <x:c r="A82" s="17" t="str">
        <x:v>V-0081</x:v>
      </x:c>
      <x:c r="B82" s="18" t="n">
        <x:v>46218</x:v>
      </x:c>
      <x:c r="C82" s="17" t="str">
        <x:v>Cliente 075</x:v>
      </x:c>
      <x:c r="D82" s="17" t="str">
        <x:v>Planner</x:v>
      </x:c>
      <x:c r="E82" s="17" t="str">
        <x:v>Papelería</x:v>
      </x:c>
      <x:c r="F82" s="17" t="str">
        <x:v>Metropolitana</x:v>
      </x:c>
      <x:c r="G82" s="17" t="str">
        <x:v>web</x:v>
      </x:c>
      <x:c r="H82" s="17" t="n">
        <x:v>2</x:v>
      </x:c>
      <x:c r="I82" s="19" t="n">
        <x:v>12990</x:v>
      </x:c>
      <x:c r="J82" s="19" t="n">
        <x:v>4800</x:v>
      </x:c>
      <x:c r="K82" s="20" t="n">
        <x:v>0</x:v>
      </x:c>
      <x:c r="L82" s="17" t="str">
        <x:v>completado</x:v>
      </x:c>
    </x:row>
    <x:row r="83">
      <x:c r="A83" s="17" t="str">
        <x:v>V-0082</x:v>
      </x:c>
      <x:c r="B83" s="18" t="n">
        <x:v>46134</x:v>
      </x:c>
      <x:c r="C83" s="17" t="str">
        <x:v>Cliente 043</x:v>
      </x:c>
      <x:c r="D83" s="17" t="str">
        <x:v>Planner</x:v>
      </x:c>
      <x:c r="E83" s="17" t="str">
        <x:v>Papelería</x:v>
      </x:c>
      <x:c r="F83" s="17" t="str">
        <x:v>RM</x:v>
      </x:c>
      <x:c r="G83" s="17" t="str">
        <x:v>WEB</x:v>
      </x:c>
      <x:c r="H83" s="17" t="n">
        <x:v>2</x:v>
      </x:c>
      <x:c r="I83" s="19" t="n">
        <x:v>12990</x:v>
      </x:c>
      <x:c r="J83" s="19" t="n">
        <x:v>4800</x:v>
      </x:c>
      <x:c r="K83" s="20" t="n">
        <x:v>0.1</x:v>
      </x:c>
      <x:c r="L83" s="17" t="str">
        <x:v>Completado</x:v>
      </x:c>
    </x:row>
    <x:row r="84">
      <x:c r="A84" s="17" t="str">
        <x:v>V-0083</x:v>
      </x:c>
      <x:c r="B84" s="18" t="n">
        <x:v>46128</x:v>
      </x:c>
      <x:c r="C84" s="17" t="str">
        <x:v>Cliente 052</x:v>
      </x:c>
      <x:c r="D84" s="17" t="str">
        <x:v>Set de lápices</x:v>
      </x:c>
      <x:c r="E84" s="17" t="str">
        <x:v>Papelería</x:v>
      </x:c>
      <x:c r="F84" s="17" t="str">
        <x:v>Región del Maule</x:v>
      </x:c>
      <x:c r="G84" s="17" t="str">
        <x:v>Web</x:v>
      </x:c>
      <x:c r="H84" s="17" t="n">
        <x:v>1</x:v>
      </x:c>
      <x:c r="I84" s="19" t="n">
        <x:v>7990</x:v>
      </x:c>
      <x:c r="J84" s="19" t="n">
        <x:v>2600</x:v>
      </x:c>
      <x:c r="K84" s="20" t="n">
        <x:v>0</x:v>
      </x:c>
      <x:c r="L84" s="17" t="str">
        <x:v>completado</x:v>
      </x:c>
    </x:row>
    <x:row r="85">
      <x:c r="A85" s="17" t="str">
        <x:v>V-0084</x:v>
      </x:c>
      <x:c r="B85" s="18" t="n">
        <x:v>46244</x:v>
      </x:c>
      <x:c r="C85" s="17" t="str">
        <x:v>Cliente 064</x:v>
      </x:c>
      <x:c r="D85" s="17" t="str">
        <x:v>Mochila</x:v>
      </x:c>
      <x:c r="E85" s="17" t="str">
        <x:v>Moda</x:v>
      </x:c>
      <x:c r="F85" s="17" t="str">
        <x:v>Santiago</x:v>
      </x:c>
      <x:c r="G85" s="17" t="str">
        <x:v>market place</x:v>
      </x:c>
      <x:c r="H85" s="17" t="n">
        <x:v>2</x:v>
      </x:c>
      <x:c r="I85" s="19" t="n">
        <x:v>26990</x:v>
      </x:c>
      <x:c r="J85" s="19" t="n">
        <x:v>12000</x:v>
      </x:c>
      <x:c r="K85" s="20" t="n">
        <x:v>0</x:v>
      </x:c>
      <x:c r="L85" s="17" t="str">
        <x:v>Completado</x:v>
      </x:c>
    </x:row>
    <x:row r="86">
      <x:c r="A86" s="17" t="str">
        <x:v>V-0085</x:v>
      </x:c>
      <x:c r="B86" s="18" t="n">
        <x:v>46183</x:v>
      </x:c>
      <x:c r="C86" s="17" t="str">
        <x:v>Cliente 004</x:v>
      </x:c>
      <x:c r="D86" s="17" t="str">
        <x:v>Polerón</x:v>
      </x:c>
      <x:c r="E86" s="17" t="str">
        <x:v>Moda</x:v>
      </x:c>
      <x:c r="F86" s="17" t="str">
        <x:v>Valparaíso</x:v>
      </x:c>
      <x:c r="G86" s="17" t="str">
        <x:v>WEB</x:v>
      </x:c>
      <x:c r="H86" s="17" t="n">
        <x:v>2</x:v>
      </x:c>
      <x:c r="I86" s="19" t="n">
        <x:v>29990</x:v>
      </x:c>
      <x:c r="J86" s="19" t="n">
        <x:v>13500</x:v>
      </x:c>
      <x:c r="K86" s="20" t="n">
        <x:v>0</x:v>
      </x:c>
      <x:c r="L86" s="17" t="str">
        <x:v>OK</x:v>
      </x:c>
    </x:row>
    <x:row r="87">
      <x:c r="A87" s="17" t="str">
        <x:v>V-0086</x:v>
      </x:c>
      <x:c r="B87" s="18" t="n">
        <x:v>46184</x:v>
      </x:c>
      <x:c r="C87" s="17" t="str">
        <x:v>Cliente 015</x:v>
      </x:c>
      <x:c r="D87" s="17" t="str">
        <x:v>Cuaderno premium</x:v>
      </x:c>
      <x:c r="E87" s="17" t="str">
        <x:v>Papelería</x:v>
      </x:c>
      <x:c r="F87" s="17" t="str">
        <x:v>Valparaíso</x:v>
      </x:c>
      <x:c r="G87" s="17" t="str">
        <x:v>instagram</x:v>
      </x:c>
      <x:c r="H87" s="17" t="n">
        <x:v>2</x:v>
      </x:c>
      <x:c r="I87" s="19" t="n">
        <x:v>9990</x:v>
      </x:c>
      <x:c r="J87" s="19" t="n">
        <x:v>3900</x:v>
      </x:c>
      <x:c r="K87" s="20" t="n">
        <x:v>0.15</x:v>
      </x:c>
      <x:c r="L87" s="17" t="str">
        <x:v>Completado</x:v>
      </x:c>
    </x:row>
    <x:row r="88">
      <x:c r="A88" s="17" t="str">
        <x:v>V-0087</x:v>
      </x:c>
      <x:c r="B88" s="18" t="n">
        <x:v>46141</x:v>
      </x:c>
      <x:c r="C88" s="17" t="str">
        <x:v>Cliente 062</x:v>
      </x:c>
      <x:c r="D88" s="17" t="str">
        <x:v>Teclado</x:v>
      </x:c>
      <x:c r="E88" s="17" t="str">
        <x:v>Tecnología</x:v>
      </x:c>
      <x:c r="F88" s="17" t="str">
        <x:v>Valparaíso</x:v>
      </x:c>
      <x:c r="G88" s="17" t="str">
        <x:v>market place</x:v>
      </x:c>
      <x:c r="H88" s="17" t="n">
        <x:v>2</x:v>
      </x:c>
      <x:c r="I88" s="19" t="n">
        <x:v>32990</x:v>
      </x:c>
      <x:c r="J88" s="19" t="n">
        <x:v>18500</x:v>
      </x:c>
      <x:c r="K88" s="20" t="n">
        <x:v>0</x:v>
      </x:c>
      <x:c r="L88" s="17" t="str">
        <x:v>completado</x:v>
      </x:c>
    </x:row>
    <x:row r="89">
      <x:c r="A89" s="17" t="str">
        <x:v>V-0088</x:v>
      </x:c>
      <x:c r="B89" s="18" t="n">
        <x:v>46143</x:v>
      </x:c>
      <x:c r="C89" s="17" t="str">
        <x:v>Cliente 036</x:v>
      </x:c>
      <x:c r="D89" s="17" t="str">
        <x:v>Lámpara</x:v>
      </x:c>
      <x:c r="E89" s="17" t="str">
        <x:v>Hogar</x:v>
      </x:c>
      <x:c r="F89" s="17" t="str">
        <x:v>Valparaíso</x:v>
      </x:c>
      <x:c r="G89" s="17" t="str">
        <x:v>web</x:v>
      </x:c>
      <x:c r="H89" s="17" t="n">
        <x:v>1</x:v>
      </x:c>
      <x:c r="I89" s="19" t="n">
        <x:v>21990</x:v>
      </x:c>
      <x:c r="J89" s="19" t="n">
        <x:v>11000</x:v>
      </x:c>
      <x:c r="K89" s="20" t="n">
        <x:v>0.1</x:v>
      </x:c>
      <x:c r="L89" s="17" t="str">
        <x:v>Completado</x:v>
      </x:c>
    </x:row>
    <x:row r="90">
      <x:c r="A90" s="17" t="str">
        <x:v>V-0089</x:v>
      </x:c>
      <x:c r="B90" s="18" t="n">
        <x:v>46220</x:v>
      </x:c>
      <x:c r="C90" s="17" t="str">
        <x:v>Cliente 063</x:v>
      </x:c>
      <x:c r="D90" s="17" t="str">
        <x:v>Polera básica</x:v>
      </x:c>
      <x:c r="E90" s="17" t="str">
        <x:v>Moda</x:v>
      </x:c>
      <x:c r="F90" s="17" t="str">
        <x:v>Biobio</x:v>
      </x:c>
      <x:c r="G90" s="17" t="str">
        <x:v>WEB</x:v>
      </x:c>
      <x:c r="H90" s="17" t="n">
        <x:v>1</x:v>
      </x:c>
      <x:c r="I90" s="19" t="n">
        <x:v>15990</x:v>
      </x:c>
      <x:c r="J90" s="19" t="n">
        <x:v>6800</x:v>
      </x:c>
      <x:c r="K90" s="20" t="n">
        <x:v>0.15</x:v>
      </x:c>
      <x:c r="L90" s="17" t="str">
        <x:v>PENDIENTE</x:v>
      </x:c>
    </x:row>
    <x:row r="91">
      <x:c r="A91" s="17" t="str">
        <x:v>V-0090</x:v>
      </x:c>
      <x:c r="B91" s="18" t="n">
        <x:v>46244</x:v>
      </x:c>
      <x:c r="C91" s="17" t="str">
        <x:v>Cliente 031</x:v>
      </x:c>
      <x:c r="D91" s="17" t="str">
        <x:v>Mouse</x:v>
      </x:c>
      <x:c r="E91" s="17" t="str">
        <x:v>Tecnología</x:v>
      </x:c>
      <x:c r="F91" s="17" t="str">
        <x:v>VII Region</x:v>
      </x:c>
      <x:c r="G91" s="17" t="str">
        <x:v>web</x:v>
      </x:c>
      <x:c r="H91" s="17" t="n">
        <x:v>1</x:v>
      </x:c>
      <x:c r="I91" s="19" t="n">
        <x:v>18990</x:v>
      </x:c>
      <x:c r="J91" s="19" t="n">
        <x:v>9800</x:v>
      </x:c>
      <x:c r="K91" s="20" t="n">
        <x:v>0.1</x:v>
      </x:c>
      <x:c r="L91" s="17" t="str">
        <x:v>completado</x:v>
      </x:c>
    </x:row>
    <x:row r="92">
      <x:c r="A92" s="17" t="str">
        <x:v>V-0091</x:v>
      </x:c>
      <x:c r="B92" s="18" t="n">
        <x:v>46169</x:v>
      </x:c>
      <x:c r="C92" s="17" t="str">
        <x:v>Cliente 020</x:v>
      </x:c>
      <x:c r="D92" s="17" t="str">
        <x:v>Polera básica</x:v>
      </x:c>
      <x:c r="E92" s="17" t="str">
        <x:v>Moda</x:v>
      </x:c>
      <x:c r="F92" s="17" t="str">
        <x:v>Maule</x:v>
      </x:c>
      <x:c r="G92" s="17" t="str">
        <x:v>WEB</x:v>
      </x:c>
      <x:c r="H92" s="17" t="n">
        <x:v>1</x:v>
      </x:c>
      <x:c r="I92" s="19" t="n">
        <x:v>15990</x:v>
      </x:c>
      <x:c r="J92" s="19" t="n">
        <x:v>6800</x:v>
      </x:c>
      <x:c r="K92" s="20" t="n">
        <x:v>0</x:v>
      </x:c>
      <x:c r="L92" s="17" t="str">
        <x:v>completado</x:v>
      </x:c>
    </x:row>
    <x:row r="93">
      <x:c r="A93" s="17" t="str">
        <x:v>V-0092</x:v>
      </x:c>
      <x:c r="B93" s="18" t="n">
        <x:v>46149</x:v>
      </x:c>
      <x:c r="C93" s="17" t="str">
        <x:v>Cliente 019</x:v>
      </x:c>
      <x:c r="D93" s="17" t="str">
        <x:v>Auriculares</x:v>
      </x:c>
      <x:c r="E93" s="17" t="str">
        <x:v>Tecnología</x:v>
      </x:c>
      <x:c r="F93" s="17" t="str">
        <x:v>Biobio</x:v>
      </x:c>
      <x:c r="G93" s="17" t="str">
        <x:v>market place</x:v>
      </x:c>
      <x:c r="H93" s="17" t="n">
        <x:v>1</x:v>
      </x:c>
      <x:c r="I93" s="19" t="n">
        <x:v>24990</x:v>
      </x:c>
      <x:c r="J93" s="19" t="n">
        <x:v>14500</x:v>
      </x:c>
      <x:c r="K93" s="20" t="n">
        <x:v>0</x:v>
      </x:c>
      <x:c r="L93" s="17" t="str">
        <x:v>completado</x:v>
      </x:c>
    </x:row>
    <x:row r="94">
      <x:c r="A94" s="17" t="str">
        <x:v>V-0093</x:v>
      </x:c>
      <x:c r="B94" s="18" t="n">
        <x:v>46127</x:v>
      </x:c>
      <x:c r="C94" s="17" t="str">
        <x:v>Cliente 011</x:v>
      </x:c>
      <x:c r="D94" s="17" t="str">
        <x:v>Planner</x:v>
      </x:c>
      <x:c r="E94" s="17" t="str">
        <x:v>Papelería</x:v>
      </x:c>
      <x:c r="F94" s="17" t="str">
        <x:v>RM</x:v>
      </x:c>
      <x:c r="G94" s="17" t="str">
        <x:v>IG</x:v>
      </x:c>
      <x:c r="H94" s="17" t="n">
        <x:v>4</x:v>
      </x:c>
      <x:c r="I94" s="19" t="n">
        <x:v>12990</x:v>
      </x:c>
      <x:c r="J94" s="19" t="n">
        <x:v>4800</x:v>
      </x:c>
      <x:c r="K94" s="20" t="n">
        <x:v>0</x:v>
      </x:c>
      <x:c r="L94" s="17" t="str">
        <x:v>OK</x:v>
      </x:c>
    </x:row>
    <x:row r="95">
      <x:c r="A95" s="17" t="str">
        <x:v>V-0094</x:v>
      </x:c>
      <x:c r="B95" s="18" t="n">
        <x:v>46241</x:v>
      </x:c>
      <x:c r="C95" s="17" t="str">
        <x:v>Cliente 031</x:v>
      </x:c>
      <x:c r="D95" s="17" t="str">
        <x:v>Botella térmica</x:v>
      </x:c>
      <x:c r="E95" s="17" t="str">
        <x:v>Hogar</x:v>
      </x:c>
      <x:c r="F95" s="17" t="str">
        <x:v>VII Region</x:v>
      </x:c>
      <x:c r="G95" s="17" t="str">
        <x:v>IG</x:v>
      </x:c>
      <x:c r="H95" s="17" t="n">
        <x:v>2</x:v>
      </x:c>
      <x:c r="I95" s="19" t="n">
        <x:v>17990</x:v>
      </x:c>
      <x:c r="J95" s="19" t="n">
        <x:v>8300</x:v>
      </x:c>
      <x:c r="K95" s="20" t="n">
        <x:v>0.05</x:v>
      </x:c>
      <x:c r="L95" s="17" t="str">
        <x:v>Pendiente</x:v>
      </x:c>
    </x:row>
    <x:row r="96">
      <x:c r="A96" s="17" t="str">
        <x:v>V-0095</x:v>
      </x:c>
      <x:c r="B96" s="18" t="n">
        <x:v>46184</x:v>
      </x:c>
      <x:c r="C96" s="17" t="str">
        <x:v>Cliente 057</x:v>
      </x:c>
      <x:c r="D96" s="17" t="str">
        <x:v>Planner</x:v>
      </x:c>
      <x:c r="E96" s="17" t="str">
        <x:v>Papelería</x:v>
      </x:c>
      <x:c r="F96" s="17" t="str">
        <x:v>V Region</x:v>
      </x:c>
      <x:c r="G96" s="17" t="str">
        <x:v>Web</x:v>
      </x:c>
      <x:c r="H96" s="17" t="n">
        <x:v>3</x:v>
      </x:c>
      <x:c r="I96" s="19" t="n">
        <x:v>12990</x:v>
      </x:c>
      <x:c r="J96" s="19" t="n">
        <x:v>4800</x:v>
      </x:c>
      <x:c r="K96" s="20" t="n">
        <x:v>0.1</x:v>
      </x:c>
      <x:c r="L96" s="17" t="str">
        <x:v>OK</x:v>
      </x:c>
    </x:row>
    <x:row r="97">
      <x:c r="A97" s="17" t="str">
        <x:v>V-0096</x:v>
      </x:c>
      <x:c r="B97" s="18" t="n">
        <x:v>46065</x:v>
      </x:c>
      <x:c r="C97" s="17" t="str">
        <x:v>Cliente 032</x:v>
      </x:c>
      <x:c r="D97" s="17" t="str">
        <x:v>Set de lápices</x:v>
      </x:c>
      <x:c r="E97" s="17" t="str">
        <x:v>Papelería</x:v>
      </x:c>
      <x:c r="F97" s="17" t="str">
        <x:v>Metropolitana</x:v>
      </x:c>
      <x:c r="G97" s="17" t="str">
        <x:v>Web</x:v>
      </x:c>
      <x:c r="H97" s="17" t="n">
        <x:v>1</x:v>
      </x:c>
      <x:c r="I97" s="19" t="n">
        <x:v>7990</x:v>
      </x:c>
      <x:c r="J97" s="19" t="n">
        <x:v>2600</x:v>
      </x:c>
      <x:c r="K97" s="20" t="n">
        <x:v>0</x:v>
      </x:c>
      <x:c r="L97" s="17" t="str">
        <x:v>completado</x:v>
      </x:c>
    </x:row>
    <x:row r="98">
      <x:c r="A98" s="17" t="str">
        <x:v>V-0097</x:v>
      </x:c>
      <x:c r="B98" s="18" t="n">
        <x:v>46158</x:v>
      </x:c>
      <x:c r="C98" s="17" t="str">
        <x:v>Cliente 064</x:v>
      </x:c>
      <x:c r="D98" s="17" t="str">
        <x:v>Polera básica</x:v>
      </x:c>
      <x:c r="E98" s="17" t="str">
        <x:v>Moda</x:v>
      </x:c>
      <x:c r="F98" s="17" t="str">
        <x:v>Valparaiso</x:v>
      </x:c>
      <x:c r="G98" s="17" t="str">
        <x:v>web</x:v>
      </x:c>
      <x:c r="H98" s="17" t="n">
        <x:v>1</x:v>
      </x:c>
      <x:c r="I98" s="19" t="n">
        <x:v>15990</x:v>
      </x:c>
      <x:c r="J98" s="19" t="n">
        <x:v>6800</x:v>
      </x:c>
      <x:c r="K98" s="20" t="n">
        <x:v>0.05</x:v>
      </x:c>
      <x:c r="L98" s="17" t="str">
        <x:v>PENDIENTE</x:v>
      </x:c>
    </x:row>
    <x:row r="99">
      <x:c r="A99" s="17" t="str">
        <x:v>V-0098</x:v>
      </x:c>
      <x:c r="B99" s="18" t="n">
        <x:v>46256</x:v>
      </x:c>
      <x:c r="C99" s="17" t="str">
        <x:v>Cliente 070</x:v>
      </x:c>
      <x:c r="D99" s="17" t="str">
        <x:v>Cuaderno premium</x:v>
      </x:c>
      <x:c r="E99" s="17" t="str">
        <x:v>Papelería</x:v>
      </x:c>
      <x:c r="F99" s="17" t="str">
        <x:v>Región del Maule</x:v>
      </x:c>
      <x:c r="G99" s="17" t="str">
        <x:v>WEB</x:v>
      </x:c>
      <x:c r="H99" s="17" t="n">
        <x:v>1</x:v>
      </x:c>
      <x:c r="I99" s="19" t="n">
        <x:v>9990</x:v>
      </x:c>
      <x:c r="J99" s="19" t="n">
        <x:v>3900</x:v>
      </x:c>
      <x:c r="K99" s="20" t="n">
        <x:v>0.1</x:v>
      </x:c>
      <x:c r="L99" s="17" t="str">
        <x:v>completado</x:v>
      </x:c>
    </x:row>
    <x:row r="100">
      <x:c r="A100" s="17" t="str">
        <x:v>V-0099</x:v>
      </x:c>
      <x:c r="B100" s="18" t="n">
        <x:v>46063</x:v>
      </x:c>
      <x:c r="C100" s="17" t="str">
        <x:v>Cliente 026</x:v>
      </x:c>
      <x:c r="D100" s="17" t="str">
        <x:v>Teclado</x:v>
      </x:c>
      <x:c r="E100" s="17" t="str">
        <x:v>Tecnología</x:v>
      </x:c>
      <x:c r="F100" s="17" t="str">
        <x:v>VIII Region</x:v>
      </x:c>
      <x:c r="G100" s="17" t="str">
        <x:v>WEB</x:v>
      </x:c>
      <x:c r="H100" s="17" t="n">
        <x:v>1</x:v>
      </x:c>
      <x:c r="I100" s="19" t="n">
        <x:v>32990</x:v>
      </x:c>
      <x:c r="J100" s="19" t="n">
        <x:v>18500</x:v>
      </x:c>
      <x:c r="K100" s="20" t="n">
        <x:v>0.1</x:v>
      </x:c>
      <x:c r="L100" s="17" t="str">
        <x:v>completado</x:v>
      </x:c>
    </x:row>
    <x:row r="101">
      <x:c r="A101" s="17" t="str">
        <x:v>V-0100</x:v>
      </x:c>
      <x:c r="B101" s="18" t="n">
        <x:v>46121</x:v>
      </x:c>
      <x:c r="C101" s="17" t="str">
        <x:v>Cliente 051</x:v>
      </x:c>
      <x:c r="D101" s="17" t="str">
        <x:v>Polerón</x:v>
      </x:c>
      <x:c r="E101" s="17" t="str">
        <x:v>Moda</x:v>
      </x:c>
      <x:c r="F101" s="17" t="str">
        <x:v>Región del Maule</x:v>
      </x:c>
      <x:c r="G101" s="17" t="str">
        <x:v>WEB</x:v>
      </x:c>
      <x:c r="H101" s="17" t="n">
        <x:v>1</x:v>
      </x:c>
      <x:c r="I101" s="19" t="n">
        <x:v>29990</x:v>
      </x:c>
      <x:c r="J101" s="19" t="n">
        <x:v>13500</x:v>
      </x:c>
      <x:c r="K101" s="20" t="n">
        <x:v>0</x:v>
      </x:c>
      <x:c r="L101" s="17" t="str">
        <x:v>cancelado</x:v>
      </x:c>
    </x:row>
    <x:row r="102">
      <x:c r="A102" s="17" t="str">
        <x:v>V-0101</x:v>
      </x:c>
      <x:c r="B102" s="18" t="n">
        <x:v>46093</x:v>
      </x:c>
      <x:c r="C102" s="17" t="str">
        <x:v>Cliente 046</x:v>
      </x:c>
      <x:c r="D102" s="17" t="str">
        <x:v>Auriculares</x:v>
      </x:c>
      <x:c r="E102" s="17" t="str">
        <x:v>Tecnología</x:v>
      </x:c>
      <x:c r="F102" s="17" t="str">
        <x:v>Santiago</x:v>
      </x:c>
      <x:c r="G102" s="17" t="str">
        <x:v>IG</x:v>
      </x:c>
      <x:c r="H102" s="17" t="n">
        <x:v>1</x:v>
      </x:c>
      <x:c r="I102" s="19" t="n">
        <x:v>24990</x:v>
      </x:c>
      <x:c r="J102" s="19" t="n">
        <x:v>14500</x:v>
      </x:c>
      <x:c r="K102" s="20" t="n">
        <x:v>0.05</x:v>
      </x:c>
      <x:c r="L102" s="17" t="str">
        <x:v>Completado</x:v>
      </x:c>
    </x:row>
    <x:row r="103">
      <x:c r="A103" s="17" t="str">
        <x:v>V-0102</x:v>
      </x:c>
      <x:c r="B103" s="18" t="n">
        <x:v>46079</x:v>
      </x:c>
      <x:c r="C103" s="17" t="str">
        <x:v>Cliente 006</x:v>
      </x:c>
      <x:c r="D103" s="17" t="str">
        <x:v>Planner</x:v>
      </x:c>
      <x:c r="E103" s="17" t="str">
        <x:v>Papelería</x:v>
      </x:c>
      <x:c r="F103" s="17" t="str">
        <x:v>VIII Region</x:v>
      </x:c>
      <x:c r="G103" s="17" t="str">
        <x:v>instagram</x:v>
      </x:c>
      <x:c r="H103" s="17" t="n">
        <x:v>1</x:v>
      </x:c>
      <x:c r="I103" s="19" t="n">
        <x:v>12990</x:v>
      </x:c>
      <x:c r="J103" s="19" t="n">
        <x:v>4800</x:v>
      </x:c>
      <x:c r="K103" s="20" t="n">
        <x:v>0.05</x:v>
      </x:c>
      <x:c r="L103" s="17" t="str">
        <x:v>Completado</x:v>
      </x:c>
    </x:row>
    <x:row r="104">
      <x:c r="A104" s="17" t="str">
        <x:v>V-0103</x:v>
      </x:c>
      <x:c r="B104" s="18" t="n">
        <x:v>46102</x:v>
      </x:c>
      <x:c r="C104" s="17" t="str">
        <x:v>Cliente 017</x:v>
      </x:c>
      <x:c r="D104" s="17" t="str">
        <x:v>Polerón</x:v>
      </x:c>
      <x:c r="E104" s="17" t="str">
        <x:v>Moda</x:v>
      </x:c>
      <x:c r="F104" s="17" t="str">
        <x:v>VIII Region</x:v>
      </x:c>
      <x:c r="G104" s="17" t="str">
        <x:v>WEB</x:v>
      </x:c>
      <x:c r="H104" s="17" t="n">
        <x:v>1</x:v>
      </x:c>
      <x:c r="I104" s="19" t="n">
        <x:v>29990</x:v>
      </x:c>
      <x:c r="J104" s="19" t="n">
        <x:v>13500</x:v>
      </x:c>
      <x:c r="K104" s="20" t="n">
        <x:v>0</x:v>
      </x:c>
      <x:c r="L104" s="17" t="str">
        <x:v>completado</x:v>
      </x:c>
    </x:row>
    <x:row r="105">
      <x:c r="A105" s="17" t="str">
        <x:v>V-0104</x:v>
      </x:c>
      <x:c r="B105" s="18" t="n">
        <x:v>46224</x:v>
      </x:c>
      <x:c r="C105" s="17" t="str">
        <x:v>Cliente 062</x:v>
      </x:c>
      <x:c r="D105" s="17" t="str">
        <x:v>Mochila</x:v>
      </x:c>
      <x:c r="E105" s="17" t="str">
        <x:v>Moda</x:v>
      </x:c>
      <x:c r="F105" s="17" t="str">
        <x:v>VIII Region</x:v>
      </x:c>
      <x:c r="G105" s="17" t="str">
        <x:v>WEB</x:v>
      </x:c>
      <x:c r="H105" s="17" t="n">
        <x:v>3</x:v>
      </x:c>
      <x:c r="I105" s="19" t="n">
        <x:v>26990</x:v>
      </x:c>
      <x:c r="J105" s="19" t="n">
        <x:v>12000</x:v>
      </x:c>
      <x:c r="K105" s="20" t="n">
        <x:v>0.1</x:v>
      </x:c>
      <x:c r="L105" s="17" t="str">
        <x:v>pend.</x:v>
      </x:c>
    </x:row>
    <x:row r="106">
      <x:c r="A106" s="17" t="str">
        <x:v>V-0105</x:v>
      </x:c>
      <x:c r="B106" s="18" t="n">
        <x:v>46229</x:v>
      </x:c>
      <x:c r="C106" s="17" t="str">
        <x:v>Cliente 051</x:v>
      </x:c>
      <x:c r="D106" s="17" t="str">
        <x:v>Organizador</x:v>
      </x:c>
      <x:c r="E106" s="17" t="str">
        <x:v>Hogar</x:v>
      </x:c>
      <x:c r="F106" s="17" t="str">
        <x:v>Biobio</x:v>
      </x:c>
      <x:c r="G106" s="17" t="str">
        <x:v>Web</x:v>
      </x:c>
      <x:c r="H106" s="17" t="n">
        <x:v>2</x:v>
      </x:c>
      <x:c r="I106" s="19" t="n">
        <x:v>14990</x:v>
      </x:c>
      <x:c r="J106" s="19" t="n">
        <x:v>7200</x:v>
      </x:c>
      <x:c r="K106" s="20" t="n">
        <x:v>0.1</x:v>
      </x:c>
      <x:c r="L106" s="17" t="str">
        <x:v>Completado</x:v>
      </x:c>
    </x:row>
    <x:row r="107">
      <x:c r="A107" s="17" t="str">
        <x:v>V-0106</x:v>
      </x:c>
      <x:c r="B107" s="18" t="n">
        <x:v>46239</x:v>
      </x:c>
      <x:c r="C107" s="17" t="str">
        <x:v>Cliente 034</x:v>
      </x:c>
      <x:c r="D107" s="17" t="str">
        <x:v>Mochila</x:v>
      </x:c>
      <x:c r="E107" s="17" t="str">
        <x:v>Moda</x:v>
      </x:c>
      <x:c r="F107" s="17" t="str">
        <x:v>Maule</x:v>
      </x:c>
      <x:c r="G107" s="17" t="str">
        <x:v>Web</x:v>
      </x:c>
      <x:c r="H107" s="17" t="n">
        <x:v>1</x:v>
      </x:c>
      <x:c r="I107" s="19" t="n">
        <x:v>26990</x:v>
      </x:c>
      <x:c r="J107" s="19" t="n">
        <x:v>12000</x:v>
      </x:c>
      <x:c r="K107" s="20" t="n">
        <x:v>0.05</x:v>
      </x:c>
      <x:c r="L107" s="17" t="str">
        <x:v>OK</x:v>
      </x:c>
    </x:row>
    <x:row r="108">
      <x:c r="A108" s="17" t="str">
        <x:v>V-0107</x:v>
      </x:c>
      <x:c r="B108" s="18" t="n">
        <x:v>46172</x:v>
      </x:c>
      <x:c r="C108" s="17" t="str">
        <x:v>Cliente 029</x:v>
      </x:c>
      <x:c r="D108" s="17" t="str">
        <x:v>Polera básica</x:v>
      </x:c>
      <x:c r="E108" s="17" t="str">
        <x:v>Moda</x:v>
      </x:c>
      <x:c r="F108" s="17" t="str">
        <x:v>Biobio</x:v>
      </x:c>
      <x:c r="G108" s="17" t="str">
        <x:v>IG</x:v>
      </x:c>
      <x:c r="H108" s="17" t="n">
        <x:v>2</x:v>
      </x:c>
      <x:c r="I108" s="19" t="n">
        <x:v>15990</x:v>
      </x:c>
      <x:c r="J108" s="19" t="n">
        <x:v>6800</x:v>
      </x:c>
      <x:c r="K108" s="20" t="n">
        <x:v>0</x:v>
      </x:c>
      <x:c r="L108" s="17" t="str">
        <x:v>OK</x:v>
      </x:c>
    </x:row>
    <x:row r="109">
      <x:c r="A109" s="17" t="str">
        <x:v>V-0108</x:v>
      </x:c>
      <x:c r="B109" s="18" t="n">
        <x:v>46188</x:v>
      </x:c>
      <x:c r="C109" s="17" t="str">
        <x:v>Cliente 039</x:v>
      </x:c>
      <x:c r="D109" s="17" t="str">
        <x:v>Teclado</x:v>
      </x:c>
      <x:c r="E109" s="17" t="str">
        <x:v>Tecnología</x:v>
      </x:c>
      <x:c r="F109" s="17" t="str">
        <x:v>Región del Maule</x:v>
      </x:c>
      <x:c r="G109" s="17" t="str">
        <x:v>WEB</x:v>
      </x:c>
      <x:c r="H109" s="17" t="n">
        <x:v>2</x:v>
      </x:c>
      <x:c r="I109" s="19" t="n">
        <x:v>32990</x:v>
      </x:c>
      <x:c r="J109" s="19" t="n">
        <x:v>18500</x:v>
      </x:c>
      <x:c r="K109" s="20" t="n">
        <x:v>0.1</x:v>
      </x:c>
      <x:c r="L109" s="17" t="str">
        <x:v>Completado</x:v>
      </x:c>
    </x:row>
    <x:row r="110">
      <x:c r="A110" s="17" t="str">
        <x:v>V-0109</x:v>
      </x:c>
      <x:c r="B110" s="18" t="n">
        <x:v>46149</x:v>
      </x:c>
      <x:c r="C110" s="17" t="str">
        <x:v>Cliente 054</x:v>
      </x:c>
      <x:c r="D110" s="17" t="str">
        <x:v>Teclado</x:v>
      </x:c>
      <x:c r="E110" s="17" t="str">
        <x:v>Tecnología</x:v>
      </x:c>
      <x:c r="F110" s="17" t="str">
        <x:v>Valparaíso</x:v>
      </x:c>
      <x:c r="G110" s="17" t="str">
        <x:v>web</x:v>
      </x:c>
      <x:c r="H110" s="17" t="n">
        <x:v>1</x:v>
      </x:c>
      <x:c r="I110" s="19" t="n">
        <x:v>32990</x:v>
      </x:c>
      <x:c r="J110" s="19" t="n">
        <x:v>18500</x:v>
      </x:c>
      <x:c r="K110" s="20" t="n">
        <x:v>0.1</x:v>
      </x:c>
      <x:c r="L110" s="17" t="str">
        <x:v>CANCEL</x:v>
      </x:c>
    </x:row>
    <x:row r="111">
      <x:c r="A111" s="17" t="str">
        <x:v>V-0110</x:v>
      </x:c>
      <x:c r="B111" s="18" t="n">
        <x:v>46173</x:v>
      </x:c>
      <x:c r="C111" s="17" t="str">
        <x:v>Cliente 048</x:v>
      </x:c>
      <x:c r="D111" s="17" t="str">
        <x:v>Set de lápices</x:v>
      </x:c>
      <x:c r="E111" s="17" t="str">
        <x:v>Papelería</x:v>
      </x:c>
      <x:c r="F111" s="17" t="str">
        <x:v>Región del Maule</x:v>
      </x:c>
      <x:c r="G111" s="17" t="str">
        <x:v>WEB</x:v>
      </x:c>
      <x:c r="H111" s="17" t="n">
        <x:v>2</x:v>
      </x:c>
      <x:c r="I111" s="19" t="n">
        <x:v>7990</x:v>
      </x:c>
      <x:c r="J111" s="19" t="n">
        <x:v>2600</x:v>
      </x:c>
      <x:c r="K111" s="20" t="n">
        <x:v>0</x:v>
      </x:c>
      <x:c r="L111" s="17" t="str">
        <x:v>completado</x:v>
      </x:c>
    </x:row>
    <x:row r="112">
      <x:c r="A112" s="17" t="str">
        <x:v>V-0111</x:v>
      </x:c>
      <x:c r="B112" s="18" t="n">
        <x:v>46078</x:v>
      </x:c>
      <x:c r="C112" s="17" t="str">
        <x:v>Cliente 051</x:v>
      </x:c>
      <x:c r="D112" s="17" t="str">
        <x:v>Polerón</x:v>
      </x:c>
      <x:c r="E112" s="17" t="str">
        <x:v>Moda</x:v>
      </x:c>
      <x:c r="F112" s="17" t="str">
        <x:v>Valparaíso</x:v>
      </x:c>
      <x:c r="G112" s="17" t="str">
        <x:v>web</x:v>
      </x:c>
      <x:c r="H112" s="17" t="n">
        <x:v>1</x:v>
      </x:c>
      <x:c r="I112" s="19" t="n">
        <x:v>29990</x:v>
      </x:c>
      <x:c r="J112" s="19" t="n">
        <x:v>13500</x:v>
      </x:c>
      <x:c r="K112" s="20" t="n">
        <x:v>0</x:v>
      </x:c>
      <x:c r="L112" s="17" t="str">
        <x:v>OK</x:v>
      </x:c>
    </x:row>
    <x:row r="113">
      <x:c r="A113" s="17" t="str">
        <x:v>V-0112</x:v>
      </x:c>
      <x:c r="B113" s="18" t="n">
        <x:v>46093</x:v>
      </x:c>
      <x:c r="C113" s="17" t="str">
        <x:v>Cliente 043</x:v>
      </x:c>
      <x:c r="D113" s="17" t="str">
        <x:v>Lámpara</x:v>
      </x:c>
      <x:c r="E113" s="17" t="str">
        <x:v>Hogar</x:v>
      </x:c>
      <x:c r="F113" s="17" t="str">
        <x:v>Maule</x:v>
      </x:c>
      <x:c r="G113" s="17" t="str">
        <x:v>instagram</x:v>
      </x:c>
      <x:c r="H113" s="17" t="n">
        <x:v>4</x:v>
      </x:c>
      <x:c r="I113" s="19" t="n">
        <x:v>21990</x:v>
      </x:c>
      <x:c r="J113" s="19" t="n">
        <x:v>11000</x:v>
      </x:c>
      <x:c r="K113" s="20" t="n">
        <x:v>0</x:v>
      </x:c>
      <x:c r="L113" s="17" t="str">
        <x:v>Completado</x:v>
      </x:c>
    </x:row>
    <x:row r="114">
      <x:c r="A114" s="17" t="str">
        <x:v>V-0113</x:v>
      </x:c>
      <x:c r="B114" s="18" t="n">
        <x:v>46085</x:v>
      </x:c>
      <x:c r="C114" s="17" t="str">
        <x:v>Cliente 030</x:v>
      </x:c>
      <x:c r="D114" s="17" t="str">
        <x:v>Mouse</x:v>
      </x:c>
      <x:c r="E114" s="17" t="str">
        <x:v>Tecnología</x:v>
      </x:c>
      <x:c r="F114" s="17" t="str">
        <x:v>Valparaiso</x:v>
      </x:c>
      <x:c r="G114" s="17" t="str">
        <x:v>MARKETPLACE</x:v>
      </x:c>
      <x:c r="H114" s="17" t="n">
        <x:v>2</x:v>
      </x:c>
      <x:c r="I114" s="19" t="n">
        <x:v>18990</x:v>
      </x:c>
      <x:c r="J114" s="19" t="n">
        <x:v>9800</x:v>
      </x:c>
      <x:c r="K114" s="20" t="n">
        <x:v>0.1</x:v>
      </x:c>
      <x:c r="L114" s="17" t="str">
        <x:v>Completado</x:v>
      </x:c>
    </x:row>
    <x:row r="115">
      <x:c r="A115" s="17" t="str">
        <x:v>V-0114</x:v>
      </x:c>
      <x:c r="B115" s="18" t="n">
        <x:v>46107</x:v>
      </x:c>
      <x:c r="C115" s="17" t="str">
        <x:v>Cliente 023</x:v>
      </x:c>
      <x:c r="D115" s="17" t="str">
        <x:v>Mouse</x:v>
      </x:c>
      <x:c r="E115" s="17" t="str">
        <x:v>Tecnología</x:v>
      </x:c>
      <x:c r="F115" s="17" t="str">
        <x:v>RM</x:v>
      </x:c>
      <x:c r="G115" s="17" t="str">
        <x:v>Marketplace</x:v>
      </x:c>
      <x:c r="H115" s="17" t="n">
        <x:v>2</x:v>
      </x:c>
      <x:c r="I115" s="19" t="n">
        <x:v>18990</x:v>
      </x:c>
      <x:c r="J115" s="19" t="n">
        <x:v>9800</x:v>
      </x:c>
      <x:c r="K115" s="20" t="n">
        <x:v>0</x:v>
      </x:c>
      <x:c r="L115" s="17" t="str">
        <x:v>CANCEL</x:v>
      </x:c>
    </x:row>
    <x:row r="116">
      <x:c r="A116" s="17" t="str">
        <x:v>V-0115</x:v>
      </x:c>
      <x:c r="B116" s="18" t="n">
        <x:v>46051</x:v>
      </x:c>
      <x:c r="C116" s="17" t="str">
        <x:v>Cliente 007</x:v>
      </x:c>
      <x:c r="D116" s="17" t="str">
        <x:v>Planner</x:v>
      </x:c>
      <x:c r="E116" s="17" t="str">
        <x:v>Papelería</x:v>
      </x:c>
      <x:c r="F116" s="17" t="str">
        <x:v>Valparaiso</x:v>
      </x:c>
      <x:c r="G116" s="17" t="str">
        <x:v>Web</x:v>
      </x:c>
      <x:c r="H116" s="17" t="n">
        <x:v>3</x:v>
      </x:c>
      <x:c r="I116" s="19" t="n">
        <x:v>12990</x:v>
      </x:c>
      <x:c r="J116" s="19" t="n">
        <x:v>4800</x:v>
      </x:c>
      <x:c r="K116" s="20" t="n">
        <x:v>0</x:v>
      </x:c>
      <x:c r="L116" s="17" t="str">
        <x:v>Completado</x:v>
      </x:c>
    </x:row>
    <x:row r="117">
      <x:c r="A117" s="17" t="str">
        <x:v>V-0116</x:v>
      </x:c>
      <x:c r="B117" s="18" t="n">
        <x:v>46055</x:v>
      </x:c>
      <x:c r="C117" s="17" t="str">
        <x:v>Cliente 058</x:v>
      </x:c>
      <x:c r="D117" s="17" t="str">
        <x:v>Set de lápices</x:v>
      </x:c>
      <x:c r="E117" s="17" t="str">
        <x:v>Papelería</x:v>
      </x:c>
      <x:c r="F117" s="17" t="str">
        <x:v>Santiago</x:v>
      </x:c>
      <x:c r="G117" s="17" t="str">
        <x:v>WEB</x:v>
      </x:c>
      <x:c r="H117" s="17" t="n">
        <x:v>1</x:v>
      </x:c>
      <x:c r="I117" s="19" t="n">
        <x:v>7990</x:v>
      </x:c>
      <x:c r="J117" s="19" t="n">
        <x:v>2600</x:v>
      </x:c>
      <x:c r="K117" s="20" t="n">
        <x:v>0.05</x:v>
      </x:c>
      <x:c r="L117" s="17" t="str">
        <x:v>OK</x:v>
      </x:c>
    </x:row>
    <x:row r="118">
      <x:c r="A118" s="17" t="str">
        <x:v>V-0117</x:v>
      </x:c>
      <x:c r="B118" s="18" t="n">
        <x:v>46151</x:v>
      </x:c>
      <x:c r="C118" s="17" t="str">
        <x:v>Cliente 004</x:v>
      </x:c>
      <x:c r="D118" s="17" t="str">
        <x:v>Lámpara</x:v>
      </x:c>
      <x:c r="E118" s="17" t="str">
        <x:v>Hogar</x:v>
      </x:c>
      <x:c r="F118" s="17" t="str">
        <x:v>Santiago</x:v>
      </x:c>
      <x:c r="G118" s="17" t="str">
        <x:v>instagram</x:v>
      </x:c>
      <x:c r="H118" s="17" t="n">
        <x:v>3</x:v>
      </x:c>
      <x:c r="I118" s="19" t="n">
        <x:v>21990</x:v>
      </x:c>
      <x:c r="J118" s="19" t="n">
        <x:v>11000</x:v>
      </x:c>
      <x:c r="K118" s="20" t="n">
        <x:v>0.05</x:v>
      </x:c>
      <x:c r="L118" s="17" t="str">
        <x:v>completado</x:v>
      </x:c>
    </x:row>
    <x:row r="119">
      <x:c r="A119" s="17" t="str">
        <x:v>V-0118</x:v>
      </x:c>
      <x:c r="B119" s="18" t="n">
        <x:v>46038</x:v>
      </x:c>
      <x:c r="C119" s="17" t="str">
        <x:v>Cliente 042</x:v>
      </x:c>
      <x:c r="D119" s="17" t="str">
        <x:v>Polerón</x:v>
      </x:c>
      <x:c r="E119" s="17" t="str">
        <x:v>Moda</x:v>
      </x:c>
      <x:c r="F119" s="17" t="str">
        <x:v>Región del Maule</x:v>
      </x:c>
      <x:c r="G119" s="17" t="str">
        <x:v>web</x:v>
      </x:c>
      <x:c r="H119" s="17" t="n">
        <x:v>2</x:v>
      </x:c>
      <x:c r="I119" s="19" t="n">
        <x:v>29990</x:v>
      </x:c>
      <x:c r="J119" s="19" t="n">
        <x:v>13500</x:v>
      </x:c>
      <x:c r="K119" s="20" t="n">
        <x:v>0.1</x:v>
      </x:c>
      <x:c r="L119" s="17" t="str">
        <x:v>Pendiente</x:v>
      </x:c>
    </x:row>
    <x:row r="120">
      <x:c r="A120" s="17" t="str">
        <x:v>V-0119</x:v>
      </x:c>
      <x:c r="B120" s="18" t="n">
        <x:v>46178</x:v>
      </x:c>
      <x:c r="C120" s="17" t="str">
        <x:v>Cliente 068</x:v>
      </x:c>
      <x:c r="D120" s="17" t="str">
        <x:v>Mouse</x:v>
      </x:c>
      <x:c r="E120" s="17" t="str">
        <x:v>Tecnología</x:v>
      </x:c>
      <x:c r="F120" s="17" t="str">
        <x:v>VIII Region</x:v>
      </x:c>
      <x:c r="G120" s="17" t="str">
        <x:v>instagram</x:v>
      </x:c>
      <x:c r="H120" s="17" t="n">
        <x:v>1</x:v>
      </x:c>
      <x:c r="I120" s="19" t="n">
        <x:v>18990</x:v>
      </x:c>
      <x:c r="J120" s="19" t="n">
        <x:v>9800</x:v>
      </x:c>
      <x:c r="K120" s="20" t="n">
        <x:v>0.15</x:v>
      </x:c>
      <x:c r="L120" s="17" t="str">
        <x:v>completado</x:v>
      </x:c>
    </x:row>
    <x:row r="121">
      <x:c r="A121" s="17" t="str">
        <x:v>V-0120</x:v>
      </x:c>
      <x:c r="B121" s="18" t="n">
        <x:v>46098</x:v>
      </x:c>
      <x:c r="C121" s="17" t="str">
        <x:v>Cliente 071</x:v>
      </x:c>
      <x:c r="D121" s="17" t="str">
        <x:v>Polerón</x:v>
      </x:c>
      <x:c r="E121" s="17" t="str">
        <x:v>Moda</x:v>
      </x:c>
      <x:c r="F121" s="17" t="str">
        <x:v>Maule</x:v>
      </x:c>
      <x:c r="G121" s="17" t="str">
        <x:v>Instagram</x:v>
      </x:c>
      <x:c r="H121" s="17" t="n">
        <x:v>1</x:v>
      </x:c>
      <x:c r="I121" s="19" t="n">
        <x:v>29990</x:v>
      </x:c>
      <x:c r="J121" s="19" t="n">
        <x:v>13500</x:v>
      </x:c>
      <x:c r="K121" s="20" t="n">
        <x:v>0.1</x:v>
      </x:c>
      <x:c r="L121" s="17" t="str">
        <x:v>PENDIENTE</x:v>
      </x:c>
    </x:row>
    <x:row r="122">
      <x:c r="A122" s="17" t="str">
        <x:v>V-0121</x:v>
      </x:c>
      <x:c r="B122" s="18" t="n">
        <x:v>46207</x:v>
      </x:c>
      <x:c r="C122" s="17" t="str">
        <x:v>Cliente 055</x:v>
      </x:c>
      <x:c r="D122" s="17" t="str">
        <x:v>Lámpara</x:v>
      </x:c>
      <x:c r="E122" s="17" t="str">
        <x:v>Hogar</x:v>
      </x:c>
      <x:c r="F122" s="17" t="str">
        <x:v>Valparaíso</x:v>
      </x:c>
      <x:c r="G122" s="17" t="str">
        <x:v>WEB</x:v>
      </x:c>
      <x:c r="H122" s="17" t="n">
        <x:v>1</x:v>
      </x:c>
      <x:c r="I122" s="19" t="n">
        <x:v>21990</x:v>
      </x:c>
      <x:c r="J122" s="19" t="n">
        <x:v>11000</x:v>
      </x:c>
      <x:c r="K122" s="20" t="n">
        <x:v>0</x:v>
      </x:c>
      <x:c r="L122" s="17" t="str">
        <x:v>OK</x:v>
      </x:c>
    </x:row>
    <x:row r="123">
      <x:c r="A123" s="17" t="str">
        <x:v>V-0122</x:v>
      </x:c>
      <x:c r="B123" s="18" t="n">
        <x:v>46103</x:v>
      </x:c>
      <x:c r="C123" s="17" t="str">
        <x:v>Cliente 013</x:v>
      </x:c>
      <x:c r="D123" s="17" t="str">
        <x:v>Planner</x:v>
      </x:c>
      <x:c r="E123" s="17" t="str">
        <x:v>Papelería</x:v>
      </x:c>
      <x:c r="F123" s="17" t="str">
        <x:v>V Region</x:v>
      </x:c>
      <x:c r="G123" s="17" t="str">
        <x:v>Marketplace</x:v>
      </x:c>
      <x:c r="H123" s="17" t="n">
        <x:v>1</x:v>
      </x:c>
      <x:c r="I123" s="19" t="n">
        <x:v>12990</x:v>
      </x:c>
      <x:c r="J123" s="19" t="n">
        <x:v>4800</x:v>
      </x:c>
      <x:c r="K123" s="20" t="n">
        <x:v>0</x:v>
      </x:c>
      <x:c r="L123" s="17" t="str">
        <x:v>Completado</x:v>
      </x:c>
    </x:row>
    <x:row r="124">
      <x:c r="A124" s="17" t="str">
        <x:v>V-0123</x:v>
      </x:c>
      <x:c r="B124" s="18" t="n">
        <x:v>46213</x:v>
      </x:c>
      <x:c r="C124" s="17" t="str">
        <x:v>Cliente 046</x:v>
      </x:c>
      <x:c r="D124" s="17" t="str">
        <x:v>Set de lápices</x:v>
      </x:c>
      <x:c r="E124" s="17" t="str">
        <x:v>Papelería</x:v>
      </x:c>
      <x:c r="F124" s="17" t="str">
        <x:v>V Region</x:v>
      </x:c>
      <x:c r="G124" s="17" t="str">
        <x:v>web</x:v>
      </x:c>
      <x:c r="H124" s="17" t="n">
        <x:v>1</x:v>
      </x:c>
      <x:c r="I124" s="19" t="n">
        <x:v>7990</x:v>
      </x:c>
      <x:c r="J124" s="19" t="n">
        <x:v>2600</x:v>
      </x:c>
      <x:c r="K124" s="20" t="n">
        <x:v>0</x:v>
      </x:c>
      <x:c r="L124" s="17" t="str">
        <x:v>OK</x:v>
      </x:c>
    </x:row>
    <x:row r="125">
      <x:c r="A125" s="17" t="str">
        <x:v>V-0124</x:v>
      </x:c>
      <x:c r="B125" s="18" t="n">
        <x:v>46246</x:v>
      </x:c>
      <x:c r="C125" s="17" t="str">
        <x:v>Cliente 065</x:v>
      </x:c>
      <x:c r="D125" s="17" t="str">
        <x:v>Planner</x:v>
      </x:c>
      <x:c r="E125" s="17" t="str">
        <x:v>Papelería</x:v>
      </x:c>
      <x:c r="F125" s="17" t="str">
        <x:v>Región del Maule</x:v>
      </x:c>
      <x:c r="G125" s="17" t="str">
        <x:v>WEB</x:v>
      </x:c>
      <x:c r="H125" s="17" t="n">
        <x:v>3</x:v>
      </x:c>
      <x:c r="I125" s="19" t="n">
        <x:v>12990</x:v>
      </x:c>
      <x:c r="J125" s="19" t="n">
        <x:v>4800</x:v>
      </x:c>
      <x:c r="K125" s="20" t="n">
        <x:v>0</x:v>
      </x:c>
      <x:c r="L125" s="17" t="str">
        <x:v>completado</x:v>
      </x:c>
    </x:row>
    <x:row r="126">
      <x:c r="A126" s="17" t="str">
        <x:v>V-0125</x:v>
      </x:c>
      <x:c r="B126" s="18" t="n">
        <x:v>46077</x:v>
      </x:c>
      <x:c r="C126" s="17" t="str">
        <x:v>Cliente 055</x:v>
      </x:c>
      <x:c r="D126" s="17" t="str">
        <x:v>Mouse</x:v>
      </x:c>
      <x:c r="E126" s="17" t="str">
        <x:v>Tecnología</x:v>
      </x:c>
      <x:c r="F126" s="17" t="str">
        <x:v>Valparaiso</x:v>
      </x:c>
      <x:c r="G126" s="17" t="str">
        <x:v>web</x:v>
      </x:c>
      <x:c r="H126" s="17" t="n">
        <x:v>2</x:v>
      </x:c>
      <x:c r="I126" s="19" t="n">
        <x:v>18990</x:v>
      </x:c>
      <x:c r="J126" s="19" t="n">
        <x:v>9800</x:v>
      </x:c>
      <x:c r="K126" s="20" t="n">
        <x:v>0</x:v>
      </x:c>
      <x:c r="L126" s="17" t="str">
        <x:v>completado</x:v>
      </x:c>
    </x:row>
    <x:row r="127">
      <x:c r="A127" s="17" t="str">
        <x:v>V-0126</x:v>
      </x:c>
      <x:c r="B127" s="18" t="n">
        <x:v>46239</x:v>
      </x:c>
      <x:c r="C127" s="17" t="str">
        <x:v>Cliente 040</x:v>
      </x:c>
      <x:c r="D127" s="17" t="str">
        <x:v>Mochila</x:v>
      </x:c>
      <x:c r="E127" s="17" t="str">
        <x:v>Moda</x:v>
      </x:c>
      <x:c r="F127" s="17" t="str">
        <x:v>Santiago</x:v>
      </x:c>
      <x:c r="G127" s="17" t="str">
        <x:v>MARKETPLACE</x:v>
      </x:c>
      <x:c r="H127" s="17" t="n">
        <x:v>4</x:v>
      </x:c>
      <x:c r="I127" s="19" t="n">
        <x:v>26990</x:v>
      </x:c>
      <x:c r="J127" s="19" t="n">
        <x:v>12000</x:v>
      </x:c>
      <x:c r="K127" s="20" t="n">
        <x:v>0</x:v>
      </x:c>
      <x:c r="L127" s="17" t="str">
        <x:v>Completado</x:v>
      </x:c>
    </x:row>
    <x:row r="128">
      <x:c r="A128" s="17" t="str">
        <x:v>V-0127</x:v>
      </x:c>
      <x:c r="B128" s="18" t="n">
        <x:v>46258</x:v>
      </x:c>
      <x:c r="C128" s="17" t="str">
        <x:v>Cliente 004</x:v>
      </x:c>
      <x:c r="D128" s="17" t="str">
        <x:v>Botella térmica</x:v>
      </x:c>
      <x:c r="E128" s="17" t="str">
        <x:v>Hogar</x:v>
      </x:c>
      <x:c r="F128" s="17" t="str">
        <x:v>Valparaiso</x:v>
      </x:c>
      <x:c r="G128" s="17" t="str">
        <x:v>IG</x:v>
      </x:c>
      <x:c r="H128" s="17" t="n">
        <x:v>1</x:v>
      </x:c>
      <x:c r="I128" s="19" t="n">
        <x:v>17990</x:v>
      </x:c>
      <x:c r="J128" s="19" t="n">
        <x:v>8300</x:v>
      </x:c>
      <x:c r="K128" s="20" t="n">
        <x:v>0.05</x:v>
      </x:c>
      <x:c r="L128" s="17" t="str">
        <x:v>OK</x:v>
      </x:c>
    </x:row>
    <x:row r="129">
      <x:c r="A129" s="17" t="str">
        <x:v>V-0128</x:v>
      </x:c>
      <x:c r="B129" s="18" t="n">
        <x:v>46046</x:v>
      </x:c>
      <x:c r="C129" s="17" t="str">
        <x:v>Cliente 073</x:v>
      </x:c>
      <x:c r="D129" s="17" t="str">
        <x:v>Set de lápices</x:v>
      </x:c>
      <x:c r="E129" s="17" t="str">
        <x:v>Papelería</x:v>
      </x:c>
      <x:c r="F129" s="17" t="str">
        <x:v>VII Region</x:v>
      </x:c>
      <x:c r="G129" s="17" t="str">
        <x:v>Web</x:v>
      </x:c>
      <x:c r="H129" s="17" t="n">
        <x:v>1</x:v>
      </x:c>
      <x:c r="I129" s="19" t="n">
        <x:v>7990</x:v>
      </x:c>
      <x:c r="J129" s="19" t="n">
        <x:v>2600</x:v>
      </x:c>
      <x:c r="K129" s="20" t="n">
        <x:v>0</x:v>
      </x:c>
      <x:c r="L129" s="17" t="str">
        <x:v>OK</x:v>
      </x:c>
    </x:row>
    <x:row r="130">
      <x:c r="A130" s="17" t="str">
        <x:v>V-0129</x:v>
      </x:c>
      <x:c r="B130" s="18" t="n">
        <x:v>46175</x:v>
      </x:c>
      <x:c r="C130" s="17" t="str">
        <x:v>Cliente 055</x:v>
      </x:c>
      <x:c r="D130" s="17" t="str">
        <x:v>Teclado</x:v>
      </x:c>
      <x:c r="E130" s="17" t="str">
        <x:v>Tecnología</x:v>
      </x:c>
      <x:c r="F130" s="17" t="str">
        <x:v>Valparaiso</x:v>
      </x:c>
      <x:c r="G130" s="17" t="str">
        <x:v>Instagram</x:v>
      </x:c>
      <x:c r="H130" s="17" t="n">
        <x:v>3</x:v>
      </x:c>
      <x:c r="I130" s="19" t="n">
        <x:v>32990</x:v>
      </x:c>
      <x:c r="J130" s="19" t="n">
        <x:v>18500</x:v>
      </x:c>
      <x:c r="K130" s="20" t="n">
        <x:v>0</x:v>
      </x:c>
      <x:c r="L130" s="17" t="str">
        <x:v>completado</x:v>
      </x:c>
    </x:row>
    <x:row r="131">
      <x:c r="A131" s="17" t="str">
        <x:v>V-0130</x:v>
      </x:c>
      <x:c r="B131" s="18" t="n">
        <x:v>46147</x:v>
      </x:c>
      <x:c r="C131" s="17" t="str">
        <x:v>Cliente 063</x:v>
      </x:c>
      <x:c r="D131" s="17" t="str">
        <x:v>Cuaderno premium</x:v>
      </x:c>
      <x:c r="E131" s="17" t="str">
        <x:v>Papelería</x:v>
      </x:c>
      <x:c r="F131" s="17" t="str">
        <x:v>Biobio</x:v>
      </x:c>
      <x:c r="G131" s="17" t="str">
        <x:v>Instagram</x:v>
      </x:c>
      <x:c r="H131" s="17" t="n">
        <x:v>1</x:v>
      </x:c>
      <x:c r="I131" s="19" t="n">
        <x:v>9990</x:v>
      </x:c>
      <x:c r="J131" s="19" t="n">
        <x:v>3900</x:v>
      </x:c>
      <x:c r="K131" s="20" t="n">
        <x:v>0</x:v>
      </x:c>
      <x:c r="L131" s="17" t="str">
        <x:v>Completado</x:v>
      </x:c>
    </x:row>
    <x:row r="132">
      <x:c r="A132" s="17" t="str">
        <x:v>V-0131</x:v>
      </x:c>
      <x:c r="B132" s="18" t="n">
        <x:v>46157</x:v>
      </x:c>
      <x:c r="C132" s="17" t="str">
        <x:v>Cliente 018</x:v>
      </x:c>
      <x:c r="D132" s="17" t="str">
        <x:v>Planner</x:v>
      </x:c>
      <x:c r="E132" s="17" t="str">
        <x:v>Papelería</x:v>
      </x:c>
      <x:c r="F132" s="17" t="str">
        <x:v>Valparaíso</x:v>
      </x:c>
      <x:c r="G132" s="17" t="str">
        <x:v>Marketplace</x:v>
      </x:c>
      <x:c r="H132" s="17" t="n">
        <x:v>1</x:v>
      </x:c>
      <x:c r="I132" s="19" t="n">
        <x:v>12990</x:v>
      </x:c>
      <x:c r="J132" s="19" t="n">
        <x:v>4800</x:v>
      </x:c>
      <x:c r="K132" s="20" t="n">
        <x:v>0.1</x:v>
      </x:c>
      <x:c r="L132" s="17" t="str">
        <x:v>completado</x:v>
      </x:c>
    </x:row>
    <x:row r="133">
      <x:c r="A133" s="17" t="str">
        <x:v>V-0132</x:v>
      </x:c>
      <x:c r="B133" s="18" t="n">
        <x:v>46218</x:v>
      </x:c>
      <x:c r="C133" s="17" t="str">
        <x:v>Cliente 030</x:v>
      </x:c>
      <x:c r="D133" s="17" t="str">
        <x:v>Organizador</x:v>
      </x:c>
      <x:c r="E133" s="17" t="str">
        <x:v>Hogar</x:v>
      </x:c>
      <x:c r="F133" s="17" t="str">
        <x:v>Metropolitana</x:v>
      </x:c>
      <x:c r="G133" s="17" t="str">
        <x:v>WEB</x:v>
      </x:c>
      <x:c r="H133" s="17" t="n">
        <x:v>1</x:v>
      </x:c>
      <x:c r="I133" s="19" t="n">
        <x:v>14990</x:v>
      </x:c>
      <x:c r="J133" s="19" t="n">
        <x:v>7200</x:v>
      </x:c>
      <x:c r="K133" s="20" t="n">
        <x:v>0</x:v>
      </x:c>
      <x:c r="L133" s="17" t="str">
        <x:v>completado</x:v>
      </x:c>
    </x:row>
    <x:row r="134">
      <x:c r="A134" s="17" t="str">
        <x:v>V-0133</x:v>
      </x:c>
      <x:c r="B134" s="18" t="n">
        <x:v>46151</x:v>
      </x:c>
      <x:c r="C134" s="17" t="str">
        <x:v>Cliente 010</x:v>
      </x:c>
      <x:c r="D134" s="17" t="str">
        <x:v>Mochila</x:v>
      </x:c>
      <x:c r="E134" s="17" t="str">
        <x:v>Moda</x:v>
      </x:c>
      <x:c r="F134" s="17" t="str">
        <x:v>Biobio</x:v>
      </x:c>
      <x:c r="G134" s="17" t="str">
        <x:v>web</x:v>
      </x:c>
      <x:c r="H134" s="17" t="n">
        <x:v>2</x:v>
      </x:c>
      <x:c r="I134" s="19" t="n">
        <x:v>26990</x:v>
      </x:c>
      <x:c r="J134" s="19" t="n">
        <x:v>12000</x:v>
      </x:c>
      <x:c r="K134" s="20" t="n">
        <x:v>0</x:v>
      </x:c>
      <x:c r="L134" s="17" t="str">
        <x:v>Completado</x:v>
      </x:c>
    </x:row>
    <x:row r="135">
      <x:c r="A135" s="17" t="str">
        <x:v>V-0134</x:v>
      </x:c>
      <x:c r="B135" s="18" t="n">
        <x:v>46243</x:v>
      </x:c>
      <x:c r="C135" s="17" t="str">
        <x:v>Cliente 022</x:v>
      </x:c>
      <x:c r="D135" s="17" t="str">
        <x:v>Botella térmica</x:v>
      </x:c>
      <x:c r="E135" s="17" t="str">
        <x:v>Hogar</x:v>
      </x:c>
      <x:c r="F135" s="17" t="str">
        <x:v>Región del Maule</x:v>
      </x:c>
      <x:c r="G135" s="17" t="str">
        <x:v>IG</x:v>
      </x:c>
      <x:c r="H135" s="17" t="n">
        <x:v>1</x:v>
      </x:c>
      <x:c r="I135" s="19" t="n">
        <x:v>17990</x:v>
      </x:c>
      <x:c r="J135" s="19" t="n">
        <x:v>8300</x:v>
      </x:c>
      <x:c r="K135" s="20" t="n">
        <x:v>0.15</x:v>
      </x:c>
      <x:c r="L135" s="17" t="str">
        <x:v>Completado</x:v>
      </x:c>
    </x:row>
    <x:row r="136">
      <x:c r="A136" s="17" t="str">
        <x:v>V-0135</x:v>
      </x:c>
      <x:c r="B136" s="18" t="n">
        <x:v>46228</x:v>
      </x:c>
      <x:c r="C136" s="17" t="str">
        <x:v>Cliente 011</x:v>
      </x:c>
      <x:c r="D136" s="17" t="str">
        <x:v>Cuaderno premium</x:v>
      </x:c>
      <x:c r="E136" s="17" t="str">
        <x:v>Papelería</x:v>
      </x:c>
      <x:c r="F136" s="17" t="str">
        <x:v>Biobio</x:v>
      </x:c>
      <x:c r="G136" s="17" t="str">
        <x:v>Web</x:v>
      </x:c>
      <x:c r="H136" s="17" t="n">
        <x:v>1</x:v>
      </x:c>
      <x:c r="I136" s="19" t="n">
        <x:v>9990</x:v>
      </x:c>
      <x:c r="J136" s="19" t="n">
        <x:v>3900</x:v>
      </x:c>
      <x:c r="K136" s="20" t="n">
        <x:v>0</x:v>
      </x:c>
      <x:c r="L136" s="17" t="str">
        <x:v>OK</x:v>
      </x:c>
    </x:row>
    <x:row r="137">
      <x:c r="A137" s="17" t="str">
        <x:v>V-0136</x:v>
      </x:c>
      <x:c r="B137" s="18" t="n">
        <x:v>46124</x:v>
      </x:c>
      <x:c r="C137" s="17" t="str">
        <x:v>Cliente 025</x:v>
      </x:c>
      <x:c r="D137" s="17" t="str">
        <x:v>Organizador</x:v>
      </x:c>
      <x:c r="E137" s="17" t="str">
        <x:v>Hogar</x:v>
      </x:c>
      <x:c r="F137" s="17" t="str">
        <x:v>Valparaíso</x:v>
      </x:c>
      <x:c r="G137" s="17" t="str">
        <x:v>Instagram</x:v>
      </x:c>
      <x:c r="H137" s="17" t="n">
        <x:v>2</x:v>
      </x:c>
      <x:c r="I137" s="19" t="n">
        <x:v>14990</x:v>
      </x:c>
      <x:c r="J137" s="19" t="n">
        <x:v>7200</x:v>
      </x:c>
      <x:c r="K137" s="20" t="n">
        <x:v>0</x:v>
      </x:c>
      <x:c r="L137" s="17" t="str">
        <x:v>Completado</x:v>
      </x:c>
    </x:row>
    <x:row r="138">
      <x:c r="A138" s="17" t="str">
        <x:v>V-0137</x:v>
      </x:c>
      <x:c r="B138" s="18" t="n">
        <x:v>46254</x:v>
      </x:c>
      <x:c r="C138" s="17" t="str">
        <x:v>Cliente 010</x:v>
      </x:c>
      <x:c r="D138" s="17" t="str">
        <x:v>Botella térmica</x:v>
      </x:c>
      <x:c r="E138" s="17" t="str">
        <x:v>Hogar</x:v>
      </x:c>
      <x:c r="F138" s="17" t="str">
        <x:v>Valparaiso</x:v>
      </x:c>
      <x:c r="G138" s="17" t="str">
        <x:v>WEB</x:v>
      </x:c>
      <x:c r="H138" s="17" t="n">
        <x:v>1</x:v>
      </x:c>
      <x:c r="I138" s="19" t="n">
        <x:v>17990</x:v>
      </x:c>
      <x:c r="J138" s="19" t="n">
        <x:v>8300</x:v>
      </x:c>
      <x:c r="K138" s="20" t="n">
        <x:v>0</x:v>
      </x:c>
      <x:c r="L138" s="17" t="str">
        <x:v>OK</x:v>
      </x:c>
    </x:row>
    <x:row r="139">
      <x:c r="A139" s="17" t="str">
        <x:v>V-0138</x:v>
      </x:c>
      <x:c r="B139" s="18" t="n">
        <x:v>46068</x:v>
      </x:c>
      <x:c r="C139" s="17" t="str">
        <x:v>Cliente 041</x:v>
      </x:c>
      <x:c r="D139" s="17" t="str">
        <x:v>Planner</x:v>
      </x:c>
      <x:c r="E139" s="17" t="str">
        <x:v>Papelería</x:v>
      </x:c>
      <x:c r="F139" s="17" t="str">
        <x:v>Región del Maule</x:v>
      </x:c>
      <x:c r="G139" s="17" t="str">
        <x:v>MARKETPLACE</x:v>
      </x:c>
      <x:c r="H139" s="17" t="n">
        <x:v>1</x:v>
      </x:c>
      <x:c r="I139" s="19" t="n">
        <x:v>12990</x:v>
      </x:c>
      <x:c r="J139" s="19" t="n">
        <x:v>4800</x:v>
      </x:c>
      <x:c r="K139" s="20" t="n">
        <x:v>0</x:v>
      </x:c>
      <x:c r="L139" s="17" t="str">
        <x:v>OK</x:v>
      </x:c>
    </x:row>
    <x:row r="140">
      <x:c r="A140" s="17" t="str">
        <x:v>V-0139</x:v>
      </x:c>
      <x:c r="B140" s="18" t="n">
        <x:v>46061</x:v>
      </x:c>
      <x:c r="C140" s="17" t="str">
        <x:v>Cliente 040</x:v>
      </x:c>
      <x:c r="D140" s="17" t="str">
        <x:v>Polerón</x:v>
      </x:c>
      <x:c r="E140" s="17" t="str">
        <x:v>Moda</x:v>
      </x:c>
      <x:c r="F140" s="17" t="str">
        <x:v>Región del Maule</x:v>
      </x:c>
      <x:c r="G140" s="17" t="str">
        <x:v>WEB</x:v>
      </x:c>
      <x:c r="H140" s="17" t="n">
        <x:v>1</x:v>
      </x:c>
      <x:c r="I140" s="19" t="n">
        <x:v>29990</x:v>
      </x:c>
      <x:c r="J140" s="19" t="n">
        <x:v>13500</x:v>
      </x:c>
      <x:c r="K140" s="20" t="n">
        <x:v>0</x:v>
      </x:c>
      <x:c r="L140" s="17" t="str">
        <x:v>completado</x:v>
      </x:c>
    </x:row>
    <x:row r="141">
      <x:c r="A141" s="17" t="str">
        <x:v>V-0140</x:v>
      </x:c>
      <x:c r="B141" s="18" t="n">
        <x:v>46141</x:v>
      </x:c>
      <x:c r="C141" s="17" t="str">
        <x:v>Cliente 075</x:v>
      </x:c>
      <x:c r="D141" s="17" t="str">
        <x:v>Polerón</x:v>
      </x:c>
      <x:c r="E141" s="17" t="str">
        <x:v>Moda</x:v>
      </x:c>
      <x:c r="F141" s="17" t="str">
        <x:v>Biobío</x:v>
      </x:c>
      <x:c r="G141" s="17" t="str">
        <x:v>Web</x:v>
      </x:c>
      <x:c r="H141" s="17" t="n">
        <x:v>1</x:v>
      </x:c>
      <x:c r="I141" s="19" t="n">
        <x:v>29990</x:v>
      </x:c>
      <x:c r="J141" s="19" t="n">
        <x:v>13500</x:v>
      </x:c>
      <x:c r="K141" s="20" t="n">
        <x:v>0</x:v>
      </x:c>
      <x:c r="L141" s="17" t="str">
        <x:v>OK</x:v>
      </x:c>
    </x:row>
    <x:row r="142">
      <x:c r="A142" s="17" t="str">
        <x:v>V-0141</x:v>
      </x:c>
      <x:c r="B142" s="18" t="n">
        <x:v>46164</x:v>
      </x:c>
      <x:c r="C142" s="17" t="str">
        <x:v>Cliente 008</x:v>
      </x:c>
      <x:c r="D142" s="17" t="str">
        <x:v>Set de lápices</x:v>
      </x:c>
      <x:c r="E142" s="17" t="str">
        <x:v>Papelería</x:v>
      </x:c>
      <x:c r="F142" s="17" t="str">
        <x:v>Región del Maule</x:v>
      </x:c>
      <x:c r="G142" s="17" t="str">
        <x:v>IG</x:v>
      </x:c>
      <x:c r="H142" s="17" t="n">
        <x:v>3</x:v>
      </x:c>
      <x:c r="I142" s="19" t="n">
        <x:v>7990</x:v>
      </x:c>
      <x:c r="J142" s="19" t="n">
        <x:v>2600</x:v>
      </x:c>
      <x:c r="K142" s="20" t="n">
        <x:v>0</x:v>
      </x:c>
      <x:c r="L142" s="17" t="str">
        <x:v>OK</x:v>
      </x:c>
    </x:row>
    <x:row r="143">
      <x:c r="A143" s="17" t="str">
        <x:v>V-0142</x:v>
      </x:c>
      <x:c r="B143" s="18" t="n">
        <x:v>46138</x:v>
      </x:c>
      <x:c r="C143" s="17" t="str">
        <x:v>Cliente 057</x:v>
      </x:c>
      <x:c r="D143" s="17" t="str">
        <x:v>Teclado</x:v>
      </x:c>
      <x:c r="E143" s="17" t="str">
        <x:v>Tecnología</x:v>
      </x:c>
      <x:c r="F143" s="17" t="str">
        <x:v>VIII Region</x:v>
      </x:c>
      <x:c r="G143" s="17" t="str">
        <x:v>web</x:v>
      </x:c>
      <x:c r="H143" s="17" t="n">
        <x:v>2</x:v>
      </x:c>
      <x:c r="I143" s="19" t="n">
        <x:v>32990</x:v>
      </x:c>
      <x:c r="J143" s="19" t="n">
        <x:v>18500</x:v>
      </x:c>
      <x:c r="K143" s="20" t="n">
        <x:v>0.05</x:v>
      </x:c>
      <x:c r="L143" s="17" t="str">
        <x:v>Completado</x:v>
      </x:c>
    </x:row>
    <x:row r="144">
      <x:c r="A144" s="17" t="str">
        <x:v>V-0143</x:v>
      </x:c>
      <x:c r="B144" s="18" t="n">
        <x:v>46157</x:v>
      </x:c>
      <x:c r="C144" s="17" t="str">
        <x:v>Cliente 007</x:v>
      </x:c>
      <x:c r="D144" s="17" t="str">
        <x:v>Mochila</x:v>
      </x:c>
      <x:c r="E144" s="17" t="str">
        <x:v>Moda</x:v>
      </x:c>
      <x:c r="F144" s="17" t="str">
        <x:v>Biobío</x:v>
      </x:c>
      <x:c r="G144" s="17" t="str">
        <x:v>market place</x:v>
      </x:c>
      <x:c r="H144" s="17" t="n">
        <x:v>2</x:v>
      </x:c>
      <x:c r="I144" s="19" t="n">
        <x:v>26990</x:v>
      </x:c>
      <x:c r="J144" s="19" t="n">
        <x:v>12000</x:v>
      </x:c>
      <x:c r="K144" s="20" t="n">
        <x:v>0.05</x:v>
      </x:c>
      <x:c r="L144" s="17" t="str">
        <x:v>completado</x:v>
      </x:c>
    </x:row>
    <x:row r="145">
      <x:c r="A145" s="17" t="str">
        <x:v>V-0144</x:v>
      </x:c>
      <x:c r="B145" s="18" t="n">
        <x:v>46225</x:v>
      </x:c>
      <x:c r="C145" s="17" t="str">
        <x:v>Cliente 020</x:v>
      </x:c>
      <x:c r="D145" s="17" t="str">
        <x:v>Planner</x:v>
      </x:c>
      <x:c r="E145" s="17" t="str">
        <x:v>Papelería</x:v>
      </x:c>
      <x:c r="F145" s="17" t="str">
        <x:v>RM</x:v>
      </x:c>
      <x:c r="G145" s="17" t="str">
        <x:v>web</x:v>
      </x:c>
      <x:c r="H145" s="17" t="n">
        <x:v>2</x:v>
      </x:c>
      <x:c r="I145" s="19" t="n">
        <x:v>12990</x:v>
      </x:c>
      <x:c r="J145" s="19" t="n">
        <x:v>4800</x:v>
      </x:c>
      <x:c r="K145" s="20" t="n">
        <x:v>0.05</x:v>
      </x:c>
      <x:c r="L145" s="17" t="str">
        <x:v>completado</x:v>
      </x:c>
    </x:row>
    <x:row r="146">
      <x:c r="A146" s="17" t="str">
        <x:v>V-0145</x:v>
      </x:c>
      <x:c r="B146" s="18" t="n">
        <x:v>46108</x:v>
      </x:c>
      <x:c r="C146" s="17" t="str">
        <x:v>Cliente 011</x:v>
      </x:c>
      <x:c r="D146" s="17" t="str">
        <x:v>Teclado</x:v>
      </x:c>
      <x:c r="E146" s="17" t="str">
        <x:v>Tecnología</x:v>
      </x:c>
      <x:c r="F146" s="17" t="str">
        <x:v>Valparaíso</x:v>
      </x:c>
      <x:c r="G146" s="17" t="str">
        <x:v>web</x:v>
      </x:c>
      <x:c r="H146" s="17" t="n">
        <x:v>2</x:v>
      </x:c>
      <x:c r="I146" s="19" t="n">
        <x:v>32990</x:v>
      </x:c>
      <x:c r="J146" s="19" t="n">
        <x:v>18500</x:v>
      </x:c>
      <x:c r="K146" s="20" t="n">
        <x:v>0</x:v>
      </x:c>
      <x:c r="L146" s="17" t="str">
        <x:v>completado</x:v>
      </x:c>
    </x:row>
    <x:row r="147">
      <x:c r="A147" s="17" t="str">
        <x:v>V-0146</x:v>
      </x:c>
      <x:c r="B147" s="18" t="n">
        <x:v>46102</x:v>
      </x:c>
      <x:c r="C147" s="17" t="str">
        <x:v>Cliente 055</x:v>
      </x:c>
      <x:c r="D147" s="17" t="str">
        <x:v>Mochila</x:v>
      </x:c>
      <x:c r="E147" s="17" t="str">
        <x:v>Moda</x:v>
      </x:c>
      <x:c r="F147" s="17" t="str">
        <x:v>Biobio</x:v>
      </x:c>
      <x:c r="G147" s="17" t="str">
        <x:v>instagram</x:v>
      </x:c>
      <x:c r="H147" s="17" t="n">
        <x:v>1</x:v>
      </x:c>
      <x:c r="I147" s="19" t="n">
        <x:v>26990</x:v>
      </x:c>
      <x:c r="J147" s="19" t="n">
        <x:v>12000</x:v>
      </x:c>
      <x:c r="K147" s="20" t="n">
        <x:v>0</x:v>
      </x:c>
      <x:c r="L147" s="17" t="str">
        <x:v>CANCEL</x:v>
      </x:c>
    </x:row>
    <x:row r="148">
      <x:c r="A148" s="17" t="str">
        <x:v>V-0147</x:v>
      </x:c>
      <x:c r="B148" s="18" t="n">
        <x:v>46153</x:v>
      </x:c>
      <x:c r="C148" s="17" t="str">
        <x:v>Cliente 018</x:v>
      </x:c>
      <x:c r="D148" s="17" t="str">
        <x:v>Botella térmica</x:v>
      </x:c>
      <x:c r="E148" s="17" t="str">
        <x:v>Hogar</x:v>
      </x:c>
      <x:c r="F148" s="17" t="str">
        <x:v>Biobio</x:v>
      </x:c>
      <x:c r="G148" s="17" t="str">
        <x:v>market place</x:v>
      </x:c>
      <x:c r="H148" s="17" t="n">
        <x:v>1</x:v>
      </x:c>
      <x:c r="I148" s="19" t="n">
        <x:v>17990</x:v>
      </x:c>
      <x:c r="J148" s="19" t="n">
        <x:v>8300</x:v>
      </x:c>
      <x:c r="K148" s="20" t="n">
        <x:v>0</x:v>
      </x:c>
      <x:c r="L148" s="17" t="str">
        <x:v>cancelado</x:v>
      </x:c>
    </x:row>
    <x:row r="149">
      <x:c r="A149" s="17" t="str">
        <x:v>V-0148</x:v>
      </x:c>
      <x:c r="B149" s="18" t="n">
        <x:v>46062</x:v>
      </x:c>
      <x:c r="C149" s="17" t="str">
        <x:v>Cliente 017</x:v>
      </x:c>
      <x:c r="D149" s="17" t="str">
        <x:v>Teclado</x:v>
      </x:c>
      <x:c r="E149" s="17" t="str">
        <x:v>Tecnología</x:v>
      </x:c>
      <x:c r="F149" s="17" t="str">
        <x:v>Santiago</x:v>
      </x:c>
      <x:c r="G149" s="17" t="str">
        <x:v>instagram</x:v>
      </x:c>
      <x:c r="H149" s="17" t="n">
        <x:v>1</x:v>
      </x:c>
      <x:c r="I149" s="19" t="n">
        <x:v>32990</x:v>
      </x:c>
      <x:c r="J149" s="19" t="n">
        <x:v>18500</x:v>
      </x:c>
      <x:c r="K149" s="20" t="n">
        <x:v>0.05</x:v>
      </x:c>
      <x:c r="L149" s="17" t="str">
        <x:v>Pendiente</x:v>
      </x:c>
    </x:row>
    <x:row r="150">
      <x:c r="A150" s="17" t="str">
        <x:v>V-0149</x:v>
      </x:c>
      <x:c r="B150" s="18" t="n">
        <x:v>46175</x:v>
      </x:c>
      <x:c r="C150" s="17" t="str">
        <x:v>Cliente 031</x:v>
      </x:c>
      <x:c r="D150" s="17" t="str">
        <x:v>Polera básica</x:v>
      </x:c>
      <x:c r="E150" s="17" t="str">
        <x:v>Moda</x:v>
      </x:c>
      <x:c r="F150" s="17" t="str">
        <x:v>V Region</x:v>
      </x:c>
      <x:c r="G150" s="17" t="str">
        <x:v>Instagram</x:v>
      </x:c>
      <x:c r="H150" s="17" t="n">
        <x:v>1</x:v>
      </x:c>
      <x:c r="I150" s="19" t="n">
        <x:v>15990</x:v>
      </x:c>
      <x:c r="J150" s="19" t="n">
        <x:v>6800</x:v>
      </x:c>
      <x:c r="K150" s="20" t="n">
        <x:v>0</x:v>
      </x:c>
      <x:c r="L150" s="17" t="str">
        <x:v>Completado</x:v>
      </x:c>
    </x:row>
    <x:row r="151">
      <x:c r="A151" s="17" t="str">
        <x:v>V-0150</x:v>
      </x:c>
      <x:c r="B151" s="18" t="n">
        <x:v>46136</x:v>
      </x:c>
      <x:c r="C151" s="17" t="str">
        <x:v>Cliente 025</x:v>
      </x:c>
      <x:c r="D151" s="17" t="str">
        <x:v>Cuaderno premium</x:v>
      </x:c>
      <x:c r="E151" s="17" t="str">
        <x:v>Papelería</x:v>
      </x:c>
      <x:c r="F151" s="17" t="str">
        <x:v>Maule</x:v>
      </x:c>
      <x:c r="G151" s="17" t="str">
        <x:v>WEB</x:v>
      </x:c>
      <x:c r="H151" s="17" t="n">
        <x:v>1</x:v>
      </x:c>
      <x:c r="I151" s="19" t="n">
        <x:v>9990</x:v>
      </x:c>
      <x:c r="J151" s="19" t="n">
        <x:v>3900</x:v>
      </x:c>
      <x:c r="K151" s="20" t="n">
        <x:v>0.1</x:v>
      </x:c>
      <x:c r="L151" s="17" t="str">
        <x:v>cancelado</x:v>
      </x:c>
    </x:row>
    <x:row r="152">
      <x:c r="A152" s="17" t="str">
        <x:v>V-0151</x:v>
      </x:c>
      <x:c r="B152" s="18" t="n">
        <x:v>46117</x:v>
      </x:c>
      <x:c r="C152" s="17" t="str">
        <x:v>Cliente 026</x:v>
      </x:c>
      <x:c r="D152" s="17" t="str">
        <x:v>Planner</x:v>
      </x:c>
      <x:c r="E152" s="17" t="str">
        <x:v>Papelería</x:v>
      </x:c>
      <x:c r="F152" s="17" t="str">
        <x:v>VII Region</x:v>
      </x:c>
      <x:c r="G152" s="17" t="str">
        <x:v>IG</x:v>
      </x:c>
      <x:c r="H152" s="17" t="n">
        <x:v>3</x:v>
      </x:c>
      <x:c r="I152" s="19" t="n">
        <x:v>12990</x:v>
      </x:c>
      <x:c r="J152" s="19" t="n">
        <x:v>4800</x:v>
      </x:c>
      <x:c r="K152" s="20" t="n">
        <x:v>0.15</x:v>
      </x:c>
      <x:c r="L152" s="17" t="str">
        <x:v>completado</x:v>
      </x:c>
    </x:row>
    <x:row r="153">
      <x:c r="A153" s="17" t="str">
        <x:v>V-0152</x:v>
      </x:c>
      <x:c r="B153" s="18" t="n">
        <x:v>46228</x:v>
      </x:c>
      <x:c r="C153" s="17" t="str">
        <x:v>Cliente 067</x:v>
      </x:c>
      <x:c r="D153" s="17" t="str">
        <x:v>Cuaderno premium</x:v>
      </x:c>
      <x:c r="E153" s="17" t="str">
        <x:v>Papelería</x:v>
      </x:c>
      <x:c r="F153" s="17" t="str">
        <x:v>Biobio</x:v>
      </x:c>
      <x:c r="G153" s="17" t="str">
        <x:v>IG</x:v>
      </x:c>
      <x:c r="H153" s="17" t="n">
        <x:v>1</x:v>
      </x:c>
      <x:c r="I153" s="19" t="n">
        <x:v>9990</x:v>
      </x:c>
      <x:c r="J153" s="19" t="n">
        <x:v>3900</x:v>
      </x:c>
      <x:c r="K153" s="20" t="n">
        <x:v>0.05</x:v>
      </x:c>
      <x:c r="L153" s="17" t="str">
        <x:v>Completado</x:v>
      </x:c>
    </x:row>
    <x:row r="154">
      <x:c r="A154" s="17" t="str">
        <x:v>V-0153</x:v>
      </x:c>
      <x:c r="B154" s="18" t="n">
        <x:v>46240</x:v>
      </x:c>
      <x:c r="C154" s="17" t="str">
        <x:v>Cliente 029</x:v>
      </x:c>
      <x:c r="D154" s="17" t="str">
        <x:v>Teclado</x:v>
      </x:c>
      <x:c r="E154" s="17" t="str">
        <x:v>Tecnología</x:v>
      </x:c>
      <x:c r="F154" s="17" t="str">
        <x:v>Valparaíso</x:v>
      </x:c>
      <x:c r="G154" s="17" t="str">
        <x:v>web</x:v>
      </x:c>
      <x:c r="H154" s="17" t="n">
        <x:v>1</x:v>
      </x:c>
      <x:c r="I154" s="19" t="n">
        <x:v>32990</x:v>
      </x:c>
      <x:c r="J154" s="19" t="n">
        <x:v>18500</x:v>
      </x:c>
      <x:c r="K154" s="20" t="n">
        <x:v>0</x:v>
      </x:c>
      <x:c r="L154" s="17" t="str">
        <x:v>completado</x:v>
      </x:c>
    </x:row>
    <x:row r="155">
      <x:c r="A155" s="17" t="str">
        <x:v>V-0154</x:v>
      </x:c>
      <x:c r="B155" s="18" t="n">
        <x:v>46232</x:v>
      </x:c>
      <x:c r="C155" s="17" t="str">
        <x:v>Cliente 048</x:v>
      </x:c>
      <x:c r="D155" s="17" t="str">
        <x:v>Polerón</x:v>
      </x:c>
      <x:c r="E155" s="17" t="str">
        <x:v>Moda</x:v>
      </x:c>
      <x:c r="F155" s="17" t="str">
        <x:v>RM</x:v>
      </x:c>
      <x:c r="G155" s="17" t="str">
        <x:v>web</x:v>
      </x:c>
      <x:c r="H155" s="17" t="n">
        <x:v>3</x:v>
      </x:c>
      <x:c r="I155" s="19" t="n">
        <x:v>29990</x:v>
      </x:c>
      <x:c r="J155" s="19" t="n">
        <x:v>13500</x:v>
      </x:c>
      <x:c r="K155" s="20" t="n">
        <x:v>0.15</x:v>
      </x:c>
      <x:c r="L155" s="17" t="str">
        <x:v>completado</x:v>
      </x:c>
    </x:row>
    <x:row r="156">
      <x:c r="A156" s="17" t="str">
        <x:v>V-0155</x:v>
      </x:c>
      <x:c r="B156" s="18" t="n">
        <x:v>46080</x:v>
      </x:c>
      <x:c r="C156" s="17" t="str">
        <x:v>Cliente 061</x:v>
      </x:c>
      <x:c r="D156" s="17" t="str">
        <x:v>Auriculares</x:v>
      </x:c>
      <x:c r="E156" s="17" t="str">
        <x:v>Tecnología</x:v>
      </x:c>
      <x:c r="F156" s="17" t="str">
        <x:v>Santiago</x:v>
      </x:c>
      <x:c r="G156" s="17" t="str">
        <x:v>Instagram</x:v>
      </x:c>
      <x:c r="H156" s="17" t="n">
        <x:v>1</x:v>
      </x:c>
      <x:c r="I156" s="19" t="n">
        <x:v>24990</x:v>
      </x:c>
      <x:c r="J156" s="19" t="n">
        <x:v>14500</x:v>
      </x:c>
      <x:c r="K156" s="20" t="n">
        <x:v>0.1</x:v>
      </x:c>
      <x:c r="L156" s="17" t="str">
        <x:v>completado</x:v>
      </x:c>
    </x:row>
    <x:row r="157">
      <x:c r="A157" s="17" t="str">
        <x:v>V-0156</x:v>
      </x:c>
      <x:c r="B157" s="18" t="n">
        <x:v>46201</x:v>
      </x:c>
      <x:c r="C157" s="17" t="str">
        <x:v>Cliente 071</x:v>
      </x:c>
      <x:c r="D157" s="17" t="str">
        <x:v>Mouse</x:v>
      </x:c>
      <x:c r="E157" s="17" t="str">
        <x:v>Tecnología</x:v>
      </x:c>
      <x:c r="F157" s="17" t="str">
        <x:v>VII Region</x:v>
      </x:c>
      <x:c r="G157" s="17" t="str">
        <x:v>Instagram</x:v>
      </x:c>
      <x:c r="H157" s="17" t="n">
        <x:v>2</x:v>
      </x:c>
      <x:c r="I157" s="19" t="n">
        <x:v>18990</x:v>
      </x:c>
      <x:c r="J157" s="19" t="n">
        <x:v>9800</x:v>
      </x:c>
      <x:c r="K157" s="20" t="n">
        <x:v>0.1</x:v>
      </x:c>
      <x:c r="L157" s="17" t="str">
        <x:v>Completado</x:v>
      </x:c>
    </x:row>
    <x:row r="158">
      <x:c r="A158" s="17" t="str">
        <x:v>V-0157</x:v>
      </x:c>
      <x:c r="B158" s="18" t="n">
        <x:v>46209</x:v>
      </x:c>
      <x:c r="C158" s="17" t="str">
        <x:v>Cliente 059</x:v>
      </x:c>
      <x:c r="D158" s="17" t="str">
        <x:v>Cuaderno premium</x:v>
      </x:c>
      <x:c r="E158" s="17" t="str">
        <x:v>Papelería</x:v>
      </x:c>
      <x:c r="F158" s="17" t="str">
        <x:v>RM</x:v>
      </x:c>
      <x:c r="G158" s="17" t="str">
        <x:v>Web</x:v>
      </x:c>
      <x:c r="H158" s="17" t="n">
        <x:v>1</x:v>
      </x:c>
      <x:c r="I158" s="19" t="n">
        <x:v>9990</x:v>
      </x:c>
      <x:c r="J158" s="19" t="n">
        <x:v>3900</x:v>
      </x:c>
      <x:c r="K158" s="20" t="n">
        <x:v>0.05</x:v>
      </x:c>
      <x:c r="L158" s="17" t="str">
        <x:v>completado</x:v>
      </x:c>
    </x:row>
    <x:row r="159">
      <x:c r="A159" s="17" t="str">
        <x:v>V-0158</x:v>
      </x:c>
      <x:c r="B159" s="18" t="n">
        <x:v>46039</x:v>
      </x:c>
      <x:c r="C159" s="17" t="str">
        <x:v>Cliente 038</x:v>
      </x:c>
      <x:c r="D159" s="17" t="str">
        <x:v>Teclado</x:v>
      </x:c>
      <x:c r="E159" s="17" t="str">
        <x:v>Tecnología</x:v>
      </x:c>
      <x:c r="F159" s="17" t="str">
        <x:v>Región del Maule</x:v>
      </x:c>
      <x:c r="G159" s="17" t="str">
        <x:v>web</x:v>
      </x:c>
      <x:c r="H159" s="17" t="n">
        <x:v>2</x:v>
      </x:c>
      <x:c r="I159" s="19" t="n">
        <x:v>32990</x:v>
      </x:c>
      <x:c r="J159" s="19" t="n">
        <x:v>18500</x:v>
      </x:c>
      <x:c r="K159" s="20" t="n">
        <x:v>0.05</x:v>
      </x:c>
      <x:c r="L159" s="17" t="str">
        <x:v>Completado</x:v>
      </x:c>
    </x:row>
    <x:row r="160">
      <x:c r="A160" s="17" t="str">
        <x:v>V-0159</x:v>
      </x:c>
      <x:c r="B160" s="18" t="n">
        <x:v>46132</x:v>
      </x:c>
      <x:c r="C160" s="17" t="str">
        <x:v>Cliente 009</x:v>
      </x:c>
      <x:c r="D160" s="17" t="str">
        <x:v>Auriculares</x:v>
      </x:c>
      <x:c r="E160" s="17" t="str">
        <x:v>Tecnología</x:v>
      </x:c>
      <x:c r="F160" s="17" t="str">
        <x:v>V Region</x:v>
      </x:c>
      <x:c r="G160" s="17" t="str">
        <x:v>web</x:v>
      </x:c>
      <x:c r="H160" s="17" t="n">
        <x:v>2</x:v>
      </x:c>
      <x:c r="I160" s="19" t="n">
        <x:v>24990</x:v>
      </x:c>
      <x:c r="J160" s="19" t="n">
        <x:v>14500</x:v>
      </x:c>
      <x:c r="K160" s="20" t="n">
        <x:v>0.15</x:v>
      </x:c>
      <x:c r="L160" s="17" t="str">
        <x:v>OK</x:v>
      </x:c>
    </x:row>
    <x:row r="161">
      <x:c r="A161" s="17" t="str">
        <x:v>V-0160</x:v>
      </x:c>
      <x:c r="B161" s="18" t="n">
        <x:v>46157</x:v>
      </x:c>
      <x:c r="C161" s="17" t="str">
        <x:v>Cliente 003</x:v>
      </x:c>
      <x:c r="D161" s="17" t="str">
        <x:v>Mochila</x:v>
      </x:c>
      <x:c r="E161" s="17" t="str">
        <x:v>Moda</x:v>
      </x:c>
      <x:c r="F161" s="17" t="str">
        <x:v>RM</x:v>
      </x:c>
      <x:c r="G161" s="17" t="str">
        <x:v>Marketplace</x:v>
      </x:c>
      <x:c r="H161" s="17" t="n">
        <x:v>1</x:v>
      </x:c>
      <x:c r="I161" s="19" t="n">
        <x:v>26990</x:v>
      </x:c>
      <x:c r="J161" s="19" t="n">
        <x:v>12000</x:v>
      </x:c>
      <x:c r="K161" s="20" t="n">
        <x:v>0</x:v>
      </x:c>
      <x:c r="L161" s="17" t="str">
        <x:v>completado</x:v>
      </x:c>
    </x:row>
    <x:row r="162">
      <x:c r="A162" s="17" t="str">
        <x:v>V-0161</x:v>
      </x:c>
      <x:c r="B162" s="18" t="n">
        <x:v>46114</x:v>
      </x:c>
      <x:c r="C162" s="17" t="str">
        <x:v>Cliente 023</x:v>
      </x:c>
      <x:c r="D162" s="17" t="str">
        <x:v>Teclado</x:v>
      </x:c>
      <x:c r="E162" s="17" t="str">
        <x:v>Tecnología</x:v>
      </x:c>
      <x:c r="F162" s="17" t="str">
        <x:v>Santiago</x:v>
      </x:c>
      <x:c r="G162" s="17" t="str">
        <x:v>IG</x:v>
      </x:c>
      <x:c r="H162" s="17" t="n">
        <x:v>1</x:v>
      </x:c>
      <x:c r="I162" s="19" t="n">
        <x:v>32990</x:v>
      </x:c>
      <x:c r="J162" s="19" t="n">
        <x:v>18500</x:v>
      </x:c>
      <x:c r="K162" s="20" t="n">
        <x:v>0</x:v>
      </x:c>
      <x:c r="L162" s="17" t="str">
        <x:v>completado</x:v>
      </x:c>
    </x:row>
    <x:row r="163">
      <x:c r="A163" s="17" t="str">
        <x:v>V-0162</x:v>
      </x:c>
      <x:c r="B163" s="18" t="n">
        <x:v>46235</x:v>
      </x:c>
      <x:c r="C163" s="17" t="str">
        <x:v>Cliente 026</x:v>
      </x:c>
      <x:c r="D163" s="17" t="str">
        <x:v>Planner</x:v>
      </x:c>
      <x:c r="E163" s="17" t="str">
        <x:v>Papelería</x:v>
      </x:c>
      <x:c r="F163" s="17" t="str">
        <x:v>Región del Maule</x:v>
      </x:c>
      <x:c r="G163" s="17" t="str">
        <x:v>Web</x:v>
      </x:c>
      <x:c r="H163" s="17" t="n">
        <x:v>1</x:v>
      </x:c>
      <x:c r="I163" s="19" t="n">
        <x:v>12990</x:v>
      </x:c>
      <x:c r="J163" s="19" t="n">
        <x:v>4800</x:v>
      </x:c>
      <x:c r="K163" s="20" t="n">
        <x:v>0</x:v>
      </x:c>
      <x:c r="L163" s="17" t="str">
        <x:v>completado</x:v>
      </x:c>
    </x:row>
    <x:row r="164">
      <x:c r="A164" s="17" t="str">
        <x:v>V-0163</x:v>
      </x:c>
      <x:c r="B164" s="18" t="n">
        <x:v>46034</x:v>
      </x:c>
      <x:c r="C164" s="17" t="str">
        <x:v>Cliente 025</x:v>
      </x:c>
      <x:c r="D164" s="17" t="str">
        <x:v>Lámpara</x:v>
      </x:c>
      <x:c r="E164" s="17" t="str">
        <x:v>Hogar</x:v>
      </x:c>
      <x:c r="F164" s="17" t="str">
        <x:v>Biobío</x:v>
      </x:c>
      <x:c r="G164" s="17" t="str">
        <x:v>web</x:v>
      </x:c>
      <x:c r="H164" s="17" t="n">
        <x:v>3</x:v>
      </x:c>
      <x:c r="I164" s="19" t="n">
        <x:v>21990</x:v>
      </x:c>
      <x:c r="J164" s="19" t="n">
        <x:v>11000</x:v>
      </x:c>
      <x:c r="K164" s="20" t="n">
        <x:v>0.05</x:v>
      </x:c>
      <x:c r="L164" s="17" t="str">
        <x:v>Completado</x:v>
      </x:c>
    </x:row>
    <x:row r="165">
      <x:c r="A165" s="17" t="str">
        <x:v>V-0164</x:v>
      </x:c>
      <x:c r="B165" s="18" t="n">
        <x:v>46096</x:v>
      </x:c>
      <x:c r="C165" s="17" t="str">
        <x:v>Cliente 057</x:v>
      </x:c>
      <x:c r="D165" s="17" t="str">
        <x:v>Botella térmica</x:v>
      </x:c>
      <x:c r="E165" s="17" t="str">
        <x:v>Hogar</x:v>
      </x:c>
      <x:c r="F165" s="17" t="str">
        <x:v>Santiago</x:v>
      </x:c>
      <x:c r="G165" s="17" t="str">
        <x:v>Web</x:v>
      </x:c>
      <x:c r="H165" s="17" t="n">
        <x:v>3</x:v>
      </x:c>
      <x:c r="I165" s="19" t="n">
        <x:v>17990</x:v>
      </x:c>
      <x:c r="J165" s="19" t="n">
        <x:v>8300</x:v>
      </x:c>
      <x:c r="K165" s="20" t="n">
        <x:v>0.1</x:v>
      </x:c>
      <x:c r="L165" s="17" t="str">
        <x:v>completado</x:v>
      </x:c>
    </x:row>
    <x:row r="166">
      <x:c r="A166" s="17" t="str">
        <x:v>V-0165</x:v>
      </x:c>
      <x:c r="B166" s="18" t="n">
        <x:v>46252</x:v>
      </x:c>
      <x:c r="C166" s="17" t="str">
        <x:v>Cliente 011</x:v>
      </x:c>
      <x:c r="D166" s="17" t="str">
        <x:v>Polera básica</x:v>
      </x:c>
      <x:c r="E166" s="17" t="str">
        <x:v>Moda</x:v>
      </x:c>
      <x:c r="F166" s="17" t="str">
        <x:v>Valparaíso</x:v>
      </x:c>
      <x:c r="G166" s="17" t="str">
        <x:v>IG</x:v>
      </x:c>
      <x:c r="H166" s="17" t="n">
        <x:v>1</x:v>
      </x:c>
      <x:c r="I166" s="19" t="n">
        <x:v>15990</x:v>
      </x:c>
      <x:c r="J166" s="19" t="n">
        <x:v>6800</x:v>
      </x:c>
      <x:c r="K166" s="20" t="n">
        <x:v>0</x:v>
      </x:c>
      <x:c r="L166" s="17" t="str">
        <x:v>CANCEL</x:v>
      </x:c>
    </x:row>
    <x:row r="167">
      <x:c r="A167" s="17" t="str">
        <x:v>V-0166</x:v>
      </x:c>
      <x:c r="B167" s="18" t="n">
        <x:v>46209</x:v>
      </x:c>
      <x:c r="C167" s="17" t="str">
        <x:v>Cliente 058</x:v>
      </x:c>
      <x:c r="D167" s="17" t="str">
        <x:v>Polera básica</x:v>
      </x:c>
      <x:c r="E167" s="17" t="str">
        <x:v>Moda</x:v>
      </x:c>
      <x:c r="F167" s="17" t="str">
        <x:v>V Region</x:v>
      </x:c>
      <x:c r="G167" s="17" t="str">
        <x:v>Web</x:v>
      </x:c>
      <x:c r="H167" s="17" t="n">
        <x:v>1</x:v>
      </x:c>
      <x:c r="I167" s="19" t="n">
        <x:v>15990</x:v>
      </x:c>
      <x:c r="J167" s="19" t="n">
        <x:v>6800</x:v>
      </x:c>
      <x:c r="K167" s="20" t="n">
        <x:v>0</x:v>
      </x:c>
      <x:c r="L167" s="17" t="str">
        <x:v>OK</x:v>
      </x:c>
    </x:row>
    <x:row r="168">
      <x:c r="A168" s="17" t="str">
        <x:v>V-0167</x:v>
      </x:c>
      <x:c r="B168" s="18" t="n">
        <x:v>46177</x:v>
      </x:c>
      <x:c r="C168" s="17" t="str">
        <x:v>Cliente 056</x:v>
      </x:c>
      <x:c r="D168" s="17" t="str">
        <x:v>Set de lápices</x:v>
      </x:c>
      <x:c r="E168" s="17" t="str">
        <x:v>Papelería</x:v>
      </x:c>
      <x:c r="F168" s="17" t="str">
        <x:v>VII Region</x:v>
      </x:c>
      <x:c r="G168" s="17" t="str">
        <x:v>web</x:v>
      </x:c>
      <x:c r="H168" s="17" t="n">
        <x:v>1</x:v>
      </x:c>
      <x:c r="I168" s="19" t="n">
        <x:v>7990</x:v>
      </x:c>
      <x:c r="J168" s="19" t="n">
        <x:v>2600</x:v>
      </x:c>
      <x:c r="K168" s="20" t="n">
        <x:v>0.05</x:v>
      </x:c>
      <x:c r="L168" s="17" t="str">
        <x:v>pend.</x:v>
      </x:c>
    </x:row>
    <x:row r="169">
      <x:c r="A169" s="17" t="str">
        <x:v>V-0168</x:v>
      </x:c>
      <x:c r="B169" s="18" t="n">
        <x:v>46093</x:v>
      </x:c>
      <x:c r="C169" s="17" t="str">
        <x:v>Cliente 004</x:v>
      </x:c>
      <x:c r="D169" s="17" t="str">
        <x:v>Planner</x:v>
      </x:c>
      <x:c r="E169" s="17" t="str">
        <x:v>Papelería</x:v>
      </x:c>
      <x:c r="F169" s="17" t="str">
        <x:v>Metropolitana</x:v>
      </x:c>
      <x:c r="G169" s="17" t="str">
        <x:v>IG</x:v>
      </x:c>
      <x:c r="H169" s="17" t="n">
        <x:v>4</x:v>
      </x:c>
      <x:c r="I169" s="19" t="n">
        <x:v>12990</x:v>
      </x:c>
      <x:c r="J169" s="19" t="n">
        <x:v>4800</x:v>
      </x:c>
      <x:c r="K169" s="20" t="n">
        <x:v>0.05</x:v>
      </x:c>
      <x:c r="L169" s="17" t="str">
        <x:v>OK</x:v>
      </x:c>
    </x:row>
    <x:row r="170">
      <x:c r="A170" s="17" t="str">
        <x:v>V-0169</x:v>
      </x:c>
      <x:c r="B170" s="18" t="n">
        <x:v>46059</x:v>
      </x:c>
      <x:c r="C170" s="17" t="str">
        <x:v>Cliente 073</x:v>
      </x:c>
      <x:c r="D170" s="17" t="str">
        <x:v>Cuaderno premium</x:v>
      </x:c>
      <x:c r="E170" s="17" t="str">
        <x:v>Papelería</x:v>
      </x:c>
      <x:c r="F170" s="17" t="str">
        <x:v>Maule</x:v>
      </x:c>
      <x:c r="G170" s="17" t="str">
        <x:v>Web</x:v>
      </x:c>
      <x:c r="H170" s="17" t="n">
        <x:v>2</x:v>
      </x:c>
      <x:c r="I170" s="19" t="n">
        <x:v>9990</x:v>
      </x:c>
      <x:c r="J170" s="19" t="n">
        <x:v>3900</x:v>
      </x:c>
      <x:c r="K170" s="20" t="n">
        <x:v>0</x:v>
      </x:c>
      <x:c r="L170" s="17" t="str">
        <x:v>completado</x:v>
      </x:c>
    </x:row>
    <x:row r="171">
      <x:c r="A171" s="17" t="str">
        <x:v>V-0170</x:v>
      </x:c>
      <x:c r="B171" s="18" t="n">
        <x:v>46031</x:v>
      </x:c>
      <x:c r="C171" s="17" t="str">
        <x:v>Cliente 041</x:v>
      </x:c>
      <x:c r="D171" s="17" t="str">
        <x:v>Cuaderno premium</x:v>
      </x:c>
      <x:c r="E171" s="17" t="str">
        <x:v>Papelería</x:v>
      </x:c>
      <x:c r="F171" s="17" t="str">
        <x:v>VII Region</x:v>
      </x:c>
      <x:c r="G171" s="17" t="str">
        <x:v>Web</x:v>
      </x:c>
      <x:c r="H171" s="17" t="n">
        <x:v>1</x:v>
      </x:c>
      <x:c r="I171" s="19" t="n">
        <x:v>9990</x:v>
      </x:c>
      <x:c r="J171" s="19" t="n">
        <x:v>3900</x:v>
      </x:c>
      <x:c r="K171" s="20" t="n">
        <x:v>0</x:v>
      </x:c>
      <x:c r="L171" s="17" t="str">
        <x:v>OK</x:v>
      </x:c>
    </x:row>
    <x:row r="172">
      <x:c r="A172" s="17" t="str">
        <x:v>V-0171</x:v>
      </x:c>
      <x:c r="B172" s="18" t="n">
        <x:v>46189</x:v>
      </x:c>
      <x:c r="C172" s="17" t="str">
        <x:v>Cliente 034</x:v>
      </x:c>
      <x:c r="D172" s="17" t="str">
        <x:v>Organizador</x:v>
      </x:c>
      <x:c r="E172" s="17" t="str">
        <x:v>Hogar</x:v>
      </x:c>
      <x:c r="F172" s="17" t="str">
        <x:v>Metropolitana</x:v>
      </x:c>
      <x:c r="G172" s="17" t="str">
        <x:v>IG</x:v>
      </x:c>
      <x:c r="H172" s="17" t="n">
        <x:v>1</x:v>
      </x:c>
      <x:c r="I172" s="19" t="n">
        <x:v>14990</x:v>
      </x:c>
      <x:c r="J172" s="19" t="n">
        <x:v>7200</x:v>
      </x:c>
      <x:c r="K172" s="20" t="n">
        <x:v>0</x:v>
      </x:c>
      <x:c r="L172" s="17" t="str">
        <x:v>OK</x:v>
      </x:c>
    </x:row>
    <x:row r="173">
      <x:c r="A173" s="17" t="str">
        <x:v>V-0172</x:v>
      </x:c>
      <x:c r="B173" s="18" t="n">
        <x:v>46203</x:v>
      </x:c>
      <x:c r="C173" s="17" t="str">
        <x:v>Cliente 058</x:v>
      </x:c>
      <x:c r="D173" s="17" t="str">
        <x:v>Polerón</x:v>
      </x:c>
      <x:c r="E173" s="17" t="str">
        <x:v>Moda</x:v>
      </x:c>
      <x:c r="F173" s="17" t="str">
        <x:v>VIII Region</x:v>
      </x:c>
      <x:c r="G173" s="17" t="str">
        <x:v>market place</x:v>
      </x:c>
      <x:c r="H173" s="17" t="n">
        <x:v>1</x:v>
      </x:c>
      <x:c r="I173" s="19" t="n">
        <x:v>29990</x:v>
      </x:c>
      <x:c r="J173" s="19" t="n">
        <x:v>13500</x:v>
      </x:c>
      <x:c r="K173" s="20" t="n">
        <x:v>0.1</x:v>
      </x:c>
      <x:c r="L173" s="17" t="str">
        <x:v>Completado</x:v>
      </x:c>
    </x:row>
    <x:row r="174">
      <x:c r="A174" s="17" t="str">
        <x:v>V-0173</x:v>
      </x:c>
      <x:c r="B174" s="18" t="n">
        <x:v>46067</x:v>
      </x:c>
      <x:c r="C174" s="17" t="str">
        <x:v>Cliente 070</x:v>
      </x:c>
      <x:c r="D174" s="17" t="str">
        <x:v>Set de lápices</x:v>
      </x:c>
      <x:c r="E174" s="17" t="str">
        <x:v>Papelería</x:v>
      </x:c>
      <x:c r="F174" s="17" t="str">
        <x:v>Santiago</x:v>
      </x:c>
      <x:c r="G174" s="17" t="str">
        <x:v>market place</x:v>
      </x:c>
      <x:c r="H174" s="17" t="n">
        <x:v>1</x:v>
      </x:c>
      <x:c r="I174" s="19" t="n">
        <x:v>7990</x:v>
      </x:c>
      <x:c r="J174" s="19" t="n">
        <x:v>2600</x:v>
      </x:c>
      <x:c r="K174" s="20" t="n">
        <x:v>0</x:v>
      </x:c>
      <x:c r="L174" s="17" t="str">
        <x:v>OK</x:v>
      </x:c>
    </x:row>
    <x:row r="175">
      <x:c r="A175" s="17" t="str">
        <x:v>V-0174</x:v>
      </x:c>
      <x:c r="B175" s="18" t="n">
        <x:v>46097</x:v>
      </x:c>
      <x:c r="C175" s="17" t="str">
        <x:v>Cliente 064</x:v>
      </x:c>
      <x:c r="D175" s="17" t="str">
        <x:v>Organizador</x:v>
      </x:c>
      <x:c r="E175" s="17" t="str">
        <x:v>Hogar</x:v>
      </x:c>
      <x:c r="F175" s="17" t="str">
        <x:v>Valparaíso</x:v>
      </x:c>
      <x:c r="G175" s="17" t="str">
        <x:v>Web</x:v>
      </x:c>
      <x:c r="H175" s="17" t="n">
        <x:v>2</x:v>
      </x:c>
      <x:c r="I175" s="19" t="n">
        <x:v>14990</x:v>
      </x:c>
      <x:c r="J175" s="19" t="n">
        <x:v>7200</x:v>
      </x:c>
      <x:c r="K175" s="20" t="n">
        <x:v>0</x:v>
      </x:c>
      <x:c r="L175" s="17" t="str">
        <x:v>Cancelado</x:v>
      </x:c>
    </x:row>
    <x:row r="176">
      <x:c r="A176" s="17" t="str">
        <x:v>V-0175</x:v>
      </x:c>
      <x:c r="B176" s="18" t="n">
        <x:v>46029</x:v>
      </x:c>
      <x:c r="C176" s="17" t="str">
        <x:v>Cliente 051</x:v>
      </x:c>
      <x:c r="D176" s="17" t="str">
        <x:v>Botella térmica</x:v>
      </x:c>
      <x:c r="E176" s="17" t="str">
        <x:v>Hogar</x:v>
      </x:c>
      <x:c r="F176" s="17" t="str">
        <x:v>Biobío</x:v>
      </x:c>
      <x:c r="G176" s="17" t="str">
        <x:v>MARKETPLACE</x:v>
      </x:c>
      <x:c r="H176" s="17" t="n">
        <x:v>1</x:v>
      </x:c>
      <x:c r="I176" s="19" t="n">
        <x:v>17990</x:v>
      </x:c>
      <x:c r="J176" s="19" t="n">
        <x:v>8300</x:v>
      </x:c>
      <x:c r="K176" s="20" t="n">
        <x:v>0</x:v>
      </x:c>
      <x:c r="L176" s="17" t="str">
        <x:v>Completado</x:v>
      </x:c>
    </x:row>
    <x:row r="177">
      <x:c r="A177" s="17" t="str">
        <x:v>V-0176</x:v>
      </x:c>
      <x:c r="B177" s="18" t="n">
        <x:v>46206</x:v>
      </x:c>
      <x:c r="C177" s="17" t="str">
        <x:v>Cliente 058</x:v>
      </x:c>
      <x:c r="D177" s="17" t="str">
        <x:v>Set de lápices</x:v>
      </x:c>
      <x:c r="E177" s="17" t="str">
        <x:v>Papelería</x:v>
      </x:c>
      <x:c r="F177" s="17" t="str">
        <x:v>VII Region</x:v>
      </x:c>
      <x:c r="G177" s="17" t="str">
        <x:v>Marketplace</x:v>
      </x:c>
      <x:c r="H177" s="17" t="n">
        <x:v>1</x:v>
      </x:c>
      <x:c r="I177" s="19" t="n">
        <x:v>7990</x:v>
      </x:c>
      <x:c r="J177" s="19" t="n">
        <x:v>2600</x:v>
      </x:c>
      <x:c r="K177" s="20" t="n">
        <x:v>0.05</x:v>
      </x:c>
      <x:c r="L177" s="17" t="str">
        <x:v>completado</x:v>
      </x:c>
    </x:row>
    <x:row r="178">
      <x:c r="A178" s="17" t="str">
        <x:v>V-0177</x:v>
      </x:c>
      <x:c r="B178" s="18" t="n">
        <x:v>46142</x:v>
      </x:c>
      <x:c r="C178" s="17" t="str">
        <x:v>Cliente 008</x:v>
      </x:c>
      <x:c r="D178" s="17" t="str">
        <x:v>Planner</x:v>
      </x:c>
      <x:c r="E178" s="17" t="str">
        <x:v>Papelería</x:v>
      </x:c>
      <x:c r="F178" s="17" t="str">
        <x:v>V Region</x:v>
      </x:c>
      <x:c r="G178" s="17" t="str">
        <x:v>Instagram</x:v>
      </x:c>
      <x:c r="H178" s="17" t="n">
        <x:v>1</x:v>
      </x:c>
      <x:c r="I178" s="19" t="n">
        <x:v>12990</x:v>
      </x:c>
      <x:c r="J178" s="19" t="n">
        <x:v>4800</x:v>
      </x:c>
      <x:c r="K178" s="20" t="n">
        <x:v>0</x:v>
      </x:c>
      <x:c r="L178" s="17" t="str">
        <x:v>Completado</x:v>
      </x:c>
    </x:row>
    <x:row r="179">
      <x:c r="A179" s="17" t="str">
        <x:v>V-0178</x:v>
      </x:c>
      <x:c r="B179" s="18" t="n">
        <x:v>46235</x:v>
      </x:c>
      <x:c r="C179" s="17" t="str">
        <x:v>Cliente 011</x:v>
      </x:c>
      <x:c r="D179" s="17" t="str">
        <x:v>Teclado</x:v>
      </x:c>
      <x:c r="E179" s="17" t="str">
        <x:v>Tecnología</x:v>
      </x:c>
      <x:c r="F179" s="17" t="str">
        <x:v>Biobio</x:v>
      </x:c>
      <x:c r="G179" s="17" t="str">
        <x:v>web</x:v>
      </x:c>
      <x:c r="H179" s="17" t="n">
        <x:v>1</x:v>
      </x:c>
      <x:c r="I179" s="19" t="n">
        <x:v>32990</x:v>
      </x:c>
      <x:c r="J179" s="19" t="n">
        <x:v>18500</x:v>
      </x:c>
      <x:c r="K179" s="20" t="n">
        <x:v>0.1</x:v>
      </x:c>
      <x:c r="L179" s="17" t="str">
        <x:v>OK</x:v>
      </x:c>
    </x:row>
    <x:row r="180">
      <x:c r="A180" s="17" t="str">
        <x:v>V-0179</x:v>
      </x:c>
      <x:c r="B180" s="18" t="n">
        <x:v>46087</x:v>
      </x:c>
      <x:c r="C180" s="17" t="str">
        <x:v>Cliente 075</x:v>
      </x:c>
      <x:c r="D180" s="17" t="str">
        <x:v>Lámpara</x:v>
      </x:c>
      <x:c r="E180" s="17" t="str">
        <x:v>Hogar</x:v>
      </x:c>
      <x:c r="F180" s="17" t="str">
        <x:v>Biobio</x:v>
      </x:c>
      <x:c r="G180" s="17" t="str">
        <x:v>instagram</x:v>
      </x:c>
      <x:c r="H180" s="17" t="n">
        <x:v>2</x:v>
      </x:c>
      <x:c r="I180" s="19" t="n">
        <x:v>21990</x:v>
      </x:c>
      <x:c r="J180" s="19" t="n">
        <x:v>11000</x:v>
      </x:c>
      <x:c r="K180" s="20" t="n">
        <x:v>0.05</x:v>
      </x:c>
      <x:c r="L180" s="17" t="str">
        <x:v>OK</x:v>
      </x:c>
    </x:row>
    <x:row r="181">
      <x:c r="A181" s="17" t="str">
        <x:v>V-0180</x:v>
      </x:c>
      <x:c r="B181" s="18" t="n">
        <x:v>46062</x:v>
      </x:c>
      <x:c r="C181" s="17" t="str">
        <x:v>Cliente 034</x:v>
      </x:c>
      <x:c r="D181" s="17" t="str">
        <x:v>Mouse</x:v>
      </x:c>
      <x:c r="E181" s="17" t="str">
        <x:v>Tecnología</x:v>
      </x:c>
      <x:c r="F181" s="17" t="str">
        <x:v>VIII Region</x:v>
      </x:c>
      <x:c r="G181" s="17" t="str">
        <x:v>Web</x:v>
      </x:c>
      <x:c r="H181" s="17" t="n">
        <x:v>2</x:v>
      </x:c>
      <x:c r="I181" s="19" t="n">
        <x:v>18990</x:v>
      </x:c>
      <x:c r="J181" s="19" t="n">
        <x:v>9800</x:v>
      </x:c>
      <x:c r="K181" s="20" t="n">
        <x:v>0.05</x:v>
      </x:c>
      <x:c r="L181" s="17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04fb86bf5cf04e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15" hidden="0" customWidth="1"/>
    <x:col min="5" max="5" width="19" hidden="0" customWidth="1"/>
    <x:col min="6" max="6" width="13" hidden="0" customWidth="1"/>
    <x:col min="7" max="7" width="16" hidden="0" customWidth="1"/>
    <x:col min="8" max="8" width="15" hidden="0" customWidth="1"/>
    <x:col min="9" max="9" width="10" hidden="0" customWidth="1"/>
    <x:col min="10" max="10" width="14" hidden="0" customWidth="1"/>
    <x:col min="11" max="11" width="14" hidden="0" customWidth="1"/>
    <x:col min="12" max="12" width="10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1" hidden="0" customWidth="1"/>
  </x:cols>
  <x:sheetData>
    <x:row r="1">
      <x:c r="A1" s="5" t="str">
        <x:v>ID Pedido</x:v>
      </x:c>
      <x:c r="B1" s="5" t="str">
        <x:v>Fecha</x:v>
      </x:c>
      <x:c r="C1" s="5" t="str">
        <x:v>Mes</x:v>
      </x:c>
      <x:c r="D1" s="5" t="str">
        <x:v>Cliente</x:v>
      </x:c>
      <x:c r="E1" s="5" t="str">
        <x:v>Producto</x:v>
      </x:c>
      <x:c r="F1" s="5" t="str">
        <x:v>Categoría</x:v>
      </x:c>
      <x:c r="G1" s="5" t="str">
        <x:v>Región</x:v>
      </x:c>
      <x:c r="H1" s="5" t="str">
        <x:v>Canal</x:v>
      </x:c>
      <x:c r="I1" s="5" t="str">
        <x:v>Cantidad</x:v>
      </x:c>
      <x:c r="J1" s="5" t="str">
        <x:v>Precio Unitario</x:v>
      </x:c>
      <x:c r="K1" s="5" t="str">
        <x:v>Costo Unitario</x:v>
      </x:c>
      <x:c r="L1" s="5" t="str">
        <x:v>Descuento</x:v>
      </x:c>
      <x:c r="M1" s="5" t="str">
        <x:v>Estado</x:v>
      </x:c>
      <x:c r="N1" s="5" t="str">
        <x:v>Venta Bruta</x:v>
      </x:c>
      <x:c r="O1" s="5" t="str">
        <x:v>Venta Neta</x:v>
      </x:c>
      <x:c r="P1" s="5" t="str">
        <x:v>Costo Total</x:v>
      </x:c>
      <x:c r="Q1" s="5" t="str">
        <x:v>Utilidad</x:v>
      </x:c>
      <x:c r="R1" s="5" t="str">
        <x:v>Margen %</x:v>
      </x:c>
    </x:row>
    <x:row r="2">
      <x:c r="A2" t="str">
        <x:f>'Datos_Brutos'!A2</x:f>
        <x:v>V-0001</x:v>
      </x:c>
      <x:c r="B2" s="10" t="n">
        <x:f>'Datos_Brutos'!B2</x:f>
        <x:v>46186</x:v>
      </x:c>
      <x:c r="C2" t="str">
        <x:f>TEXT(B2,"yyyy-mm")</x:f>
        <x:v>2026-06</x:v>
      </x:c>
      <x:c r="D2" t="str">
        <x:f>'Datos_Brutos'!C2</x:f>
        <x:v>Cliente 012</x:v>
      </x:c>
      <x:c r="E2" t="str">
        <x:f>'Datos_Brutos'!D2</x:f>
        <x:v>Teclado</x:v>
      </x:c>
      <x:c r="F2" t="str">
        <x:f>'Datos_Brutos'!E2</x:f>
        <x:v>Tecnología</x:v>
      </x:c>
      <x:c r="G2" t="str">
        <x:f>VLOOKUP('Datos_Brutos'!F2,Listas!$A$2:$B$13,2,FALSE)</x:f>
        <x:v>Biobío</x:v>
      </x:c>
      <x:c r="H2" t="str">
        <x:f>VLOOKUP('Datos_Brutos'!G2,Listas!$D$2:$E$10,2,FALSE)</x:f>
        <x:v>Web</x:v>
      </x:c>
      <x:c r="I2" t="n">
        <x:f>'Datos_Brutos'!H2</x:f>
        <x:v>1</x:v>
      </x:c>
      <x:c r="J2" s="12" t="n">
        <x:f>'Datos_Brutos'!I2</x:f>
        <x:v>32990</x:v>
      </x:c>
      <x:c r="K2" s="12" t="n">
        <x:f>'Datos_Brutos'!J2</x:f>
        <x:v>18500</x:v>
      </x:c>
      <x:c r="L2" s="14" t="n">
        <x:f>'Datos_Brutos'!K2</x:f>
        <x:v>0.1</x:v>
      </x:c>
      <x:c r="M2" t="str">
        <x:f>VLOOKUP('Datos_Brutos'!L2,Listas!$G$2:$H$10,2,FALSE)</x:f>
        <x:v>Completado</x:v>
      </x:c>
      <x:c r="N2" s="12" t="n">
        <x:f>I2*J2</x:f>
        <x:v>32990</x:v>
      </x:c>
      <x:c r="O2" s="12" t="n">
        <x:f>IF(M2="Cancelado",0,N2*(1-L2))</x:f>
        <x:v>29691</x:v>
      </x:c>
      <x:c r="P2" s="12" t="n">
        <x:f>IF(M2="Cancelado",0,I2*K2)</x:f>
        <x:v>18500</x:v>
      </x:c>
      <x:c r="Q2" s="12" t="n">
        <x:f>O2-P2</x:f>
        <x:v>11191</x:v>
      </x:c>
      <x:c r="R2" s="26" t="n">
        <x:f>IF(O2=0,0,Q2/O2)</x:f>
        <x:v>0.3769155636388131</x:v>
      </x:c>
    </x:row>
    <x:row r="3">
      <x:c r="A3" t="str">
        <x:f>'Datos_Brutos'!A3</x:f>
        <x:v>V-0002</x:v>
      </x:c>
      <x:c r="B3" s="10" t="n">
        <x:f>'Datos_Brutos'!B3</x:f>
        <x:v>46174</x:v>
      </x:c>
      <x:c r="C3" t="str">
        <x:f>TEXT(B3,"yyyy-mm")</x:f>
        <x:v>2026-06</x:v>
      </x:c>
      <x:c r="D3" t="str">
        <x:f>'Datos_Brutos'!C3</x:f>
        <x:v>Cliente 070</x:v>
      </x:c>
      <x:c r="E3" t="str">
        <x:f>'Datos_Brutos'!D3</x:f>
        <x:v>Polera básica</x:v>
      </x:c>
      <x:c r="F3" t="str">
        <x:f>'Datos_Brutos'!E3</x:f>
        <x:v>Moda</x:v>
      </x:c>
      <x:c r="G3" t="str">
        <x:f>VLOOKUP('Datos_Brutos'!F3,Listas!$A$2:$B$13,2,FALSE)</x:f>
        <x:v>Metropolitana</x:v>
      </x:c>
      <x:c r="H3" t="str">
        <x:f>VLOOKUP('Datos_Brutos'!G3,Listas!$D$2:$E$10,2,FALSE)</x:f>
        <x:v>Web</x:v>
      </x:c>
      <x:c r="I3" t="n">
        <x:f>'Datos_Brutos'!H3</x:f>
        <x:v>1</x:v>
      </x:c>
      <x:c r="J3" s="12" t="n">
        <x:f>'Datos_Brutos'!I3</x:f>
        <x:v>15990</x:v>
      </x:c>
      <x:c r="K3" s="12" t="n">
        <x:f>'Datos_Brutos'!J3</x:f>
        <x:v>6800</x:v>
      </x:c>
      <x:c r="L3" s="14" t="n">
        <x:f>'Datos_Brutos'!K3</x:f>
        <x:v>0.05</x:v>
      </x:c>
      <x:c r="M3" t="str">
        <x:f>VLOOKUP('Datos_Brutos'!L3,Listas!$G$2:$H$10,2,FALSE)</x:f>
        <x:v>Completado</x:v>
      </x:c>
      <x:c r="N3" s="12" t="n">
        <x:f>I3*J3</x:f>
        <x:v>15990</x:v>
      </x:c>
      <x:c r="O3" s="12" t="n">
        <x:f>IF(M3="Cancelado",0,N3*(1-L3))</x:f>
        <x:v>15190.5</x:v>
      </x:c>
      <x:c r="P3" s="12" t="n">
        <x:f>IF(M3="Cancelado",0,I3*K3)</x:f>
        <x:v>6800</x:v>
      </x:c>
      <x:c r="Q3" s="12" t="n">
        <x:f>O3-P3</x:f>
        <x:v>8390.5</x:v>
      </x:c>
      <x:c r="R3" s="26" t="n">
        <x:f>IF(O3=0,0,Q3/O3)</x:f>
        <x:v>0.552351798821632</x:v>
      </x:c>
    </x:row>
    <x:row r="4">
      <x:c r="A4" t="str">
        <x:f>'Datos_Brutos'!A4</x:f>
        <x:v>V-0003</x:v>
      </x:c>
      <x:c r="B4" s="10" t="n">
        <x:f>'Datos_Brutos'!B4</x:f>
        <x:v>46130</x:v>
      </x:c>
      <x:c r="C4" t="str">
        <x:f>TEXT(B4,"yyyy-mm")</x:f>
        <x:v>2026-04</x:v>
      </x:c>
      <x:c r="D4" t="str">
        <x:f>'Datos_Brutos'!C4</x:f>
        <x:v>Cliente 028</x:v>
      </x:c>
      <x:c r="E4" t="str">
        <x:f>'Datos_Brutos'!D4</x:f>
        <x:v>Lámpara</x:v>
      </x:c>
      <x:c r="F4" t="str">
        <x:f>'Datos_Brutos'!E4</x:f>
        <x:v>Hogar</x:v>
      </x:c>
      <x:c r="G4" t="str">
        <x:f>VLOOKUP('Datos_Brutos'!F4,Listas!$A$2:$B$13,2,FALSE)</x:f>
        <x:v>Biobío</x:v>
      </x:c>
      <x:c r="H4" t="str">
        <x:f>VLOOKUP('Datos_Brutos'!G4,Listas!$D$2:$E$10,2,FALSE)</x:f>
        <x:v>Instagram</x:v>
      </x:c>
      <x:c r="I4" t="n">
        <x:f>'Datos_Brutos'!H4</x:f>
        <x:v>1</x:v>
      </x:c>
      <x:c r="J4" s="12" t="n">
        <x:f>'Datos_Brutos'!I4</x:f>
        <x:v>21990</x:v>
      </x:c>
      <x:c r="K4" s="12" t="n">
        <x:f>'Datos_Brutos'!J4</x:f>
        <x:v>11000</x:v>
      </x:c>
      <x:c r="L4" s="14" t="n">
        <x:f>'Datos_Brutos'!K4</x:f>
        <x:v>0</x:v>
      </x:c>
      <x:c r="M4" t="str">
        <x:f>VLOOKUP('Datos_Brutos'!L4,Listas!$G$2:$H$10,2,FALSE)</x:f>
        <x:v>Completado</x:v>
      </x:c>
      <x:c r="N4" s="12" t="n">
        <x:f>I4*J4</x:f>
        <x:v>21990</x:v>
      </x:c>
      <x:c r="O4" s="12" t="n">
        <x:f>IF(M4="Cancelado",0,N4*(1-L4))</x:f>
        <x:v>21990</x:v>
      </x:c>
      <x:c r="P4" s="12" t="n">
        <x:f>IF(M4="Cancelado",0,I4*K4)</x:f>
        <x:v>11000</x:v>
      </x:c>
      <x:c r="Q4" s="12" t="n">
        <x:f>O4-P4</x:f>
        <x:v>10990</x:v>
      </x:c>
      <x:c r="R4" s="26" t="n">
        <x:f>IF(O4=0,0,Q4/O4)</x:f>
        <x:v>0.49977262391996363</x:v>
      </x:c>
    </x:row>
    <x:row r="5">
      <x:c r="A5" t="str">
        <x:f>'Datos_Brutos'!A5</x:f>
        <x:v>V-0004</x:v>
      </x:c>
      <x:c r="B5" s="10" t="n">
        <x:f>'Datos_Brutos'!B5</x:f>
        <x:v>46218</x:v>
      </x:c>
      <x:c r="C5" t="str">
        <x:f>TEXT(B5,"yyyy-mm")</x:f>
        <x:v>2026-07</x:v>
      </x:c>
      <x:c r="D5" t="str">
        <x:f>'Datos_Brutos'!C5</x:f>
        <x:v>Cliente 069</x:v>
      </x:c>
      <x:c r="E5" t="str">
        <x:f>'Datos_Brutos'!D5</x:f>
        <x:v>Botella térmica</x:v>
      </x:c>
      <x:c r="F5" t="str">
        <x:f>'Datos_Brutos'!E5</x:f>
        <x:v>Hogar</x:v>
      </x:c>
      <x:c r="G5" t="str">
        <x:f>VLOOKUP('Datos_Brutos'!F5,Listas!$A$2:$B$13,2,FALSE)</x:f>
        <x:v>Maule</x:v>
      </x:c>
      <x:c r="H5" t="str">
        <x:f>VLOOKUP('Datos_Brutos'!G5,Listas!$D$2:$E$10,2,FALSE)</x:f>
        <x:v>Web</x:v>
      </x:c>
      <x:c r="I5" t="n">
        <x:f>'Datos_Brutos'!H5</x:f>
        <x:v>1</x:v>
      </x:c>
      <x:c r="J5" s="12" t="n">
        <x:f>'Datos_Brutos'!I5</x:f>
        <x:v>17990</x:v>
      </x:c>
      <x:c r="K5" s="12" t="n">
        <x:f>'Datos_Brutos'!J5</x:f>
        <x:v>8300</x:v>
      </x:c>
      <x:c r="L5" s="14" t="n">
        <x:f>'Datos_Brutos'!K5</x:f>
        <x:v>0.05</x:v>
      </x:c>
      <x:c r="M5" t="str">
        <x:f>VLOOKUP('Datos_Brutos'!L5,Listas!$G$2:$H$10,2,FALSE)</x:f>
        <x:v>Completado</x:v>
      </x:c>
      <x:c r="N5" s="12" t="n">
        <x:f>I5*J5</x:f>
        <x:v>17990</x:v>
      </x:c>
      <x:c r="O5" s="12" t="n">
        <x:f>IF(M5="Cancelado",0,N5*(1-L5))</x:f>
        <x:v>17090.5</x:v>
      </x:c>
      <x:c r="P5" s="12" t="n">
        <x:f>IF(M5="Cancelado",0,I5*K5)</x:f>
        <x:v>8300</x:v>
      </x:c>
      <x:c r="Q5" s="12" t="n">
        <x:f>O5-P5</x:f>
        <x:v>8790.5</x:v>
      </x:c>
      <x:c r="R5" s="26" t="n">
        <x:f>IF(O5=0,0,Q5/O5)</x:f>
        <x:v>0.5143500775284515</x:v>
      </x:c>
    </x:row>
    <x:row r="6">
      <x:c r="A6" t="str">
        <x:f>'Datos_Brutos'!A6</x:f>
        <x:v>V-0005</x:v>
      </x:c>
      <x:c r="B6" s="10" t="n">
        <x:f>'Datos_Brutos'!B6</x:f>
        <x:v>46054</x:v>
      </x:c>
      <x:c r="C6" t="str">
        <x:f>TEXT(B6,"yyyy-mm")</x:f>
        <x:v>2026-02</x:v>
      </x:c>
      <x:c r="D6" t="str">
        <x:f>'Datos_Brutos'!C6</x:f>
        <x:v>Cliente 030</x:v>
      </x:c>
      <x:c r="E6" t="str">
        <x:f>'Datos_Brutos'!D6</x:f>
        <x:v>Polera básica</x:v>
      </x:c>
      <x:c r="F6" t="str">
        <x:f>'Datos_Brutos'!E6</x:f>
        <x:v>Moda</x:v>
      </x:c>
      <x:c r="G6" t="str">
        <x:f>VLOOKUP('Datos_Brutos'!F6,Listas!$A$2:$B$13,2,FALSE)</x:f>
        <x:v>Biobío</x:v>
      </x:c>
      <x:c r="H6" t="str">
        <x:f>VLOOKUP('Datos_Brutos'!G6,Listas!$D$2:$E$10,2,FALSE)</x:f>
        <x:v>Instagram</x:v>
      </x:c>
      <x:c r="I6" t="n">
        <x:f>'Datos_Brutos'!H6</x:f>
        <x:v>1</x:v>
      </x:c>
      <x:c r="J6" s="12" t="n">
        <x:f>'Datos_Brutos'!I6</x:f>
        <x:v>15990</x:v>
      </x:c>
      <x:c r="K6" s="12" t="n">
        <x:f>'Datos_Brutos'!J6</x:f>
        <x:v>6800</x:v>
      </x:c>
      <x:c r="L6" s="14" t="n">
        <x:f>'Datos_Brutos'!K6</x:f>
        <x:v>0</x:v>
      </x:c>
      <x:c r="M6" t="str">
        <x:f>VLOOKUP('Datos_Brutos'!L6,Listas!$G$2:$H$10,2,FALSE)</x:f>
        <x:v>Completado</x:v>
      </x:c>
      <x:c r="N6" s="12" t="n">
        <x:f>I6*J6</x:f>
        <x:v>15990</x:v>
      </x:c>
      <x:c r="O6" s="12" t="n">
        <x:f>IF(M6="Cancelado",0,N6*(1-L6))</x:f>
        <x:v>15990</x:v>
      </x:c>
      <x:c r="P6" s="12" t="n">
        <x:f>IF(M6="Cancelado",0,I6*K6)</x:f>
        <x:v>6800</x:v>
      </x:c>
      <x:c r="Q6" s="12" t="n">
        <x:f>O6-P6</x:f>
        <x:v>9190</x:v>
      </x:c>
      <x:c r="R6" s="26" t="n">
        <x:f>IF(O6=0,0,Q6/O6)</x:f>
        <x:v>0.5747342088805504</x:v>
      </x:c>
    </x:row>
    <x:row r="7">
      <x:c r="A7" t="str">
        <x:f>'Datos_Brutos'!A7</x:f>
        <x:v>V-0006</x:v>
      </x:c>
      <x:c r="B7" s="10" t="n">
        <x:f>'Datos_Brutos'!B7</x:f>
        <x:v>46220</x:v>
      </x:c>
      <x:c r="C7" t="str">
        <x:f>TEXT(B7,"yyyy-mm")</x:f>
        <x:v>2026-07</x:v>
      </x:c>
      <x:c r="D7" t="str">
        <x:f>'Datos_Brutos'!C7</x:f>
        <x:v>Cliente 046</x:v>
      </x:c>
      <x:c r="E7" t="str">
        <x:f>'Datos_Brutos'!D7</x:f>
        <x:v>Organizador</x:v>
      </x:c>
      <x:c r="F7" t="str">
        <x:f>'Datos_Brutos'!E7</x:f>
        <x:v>Hogar</x:v>
      </x:c>
      <x:c r="G7" t="str">
        <x:f>VLOOKUP('Datos_Brutos'!F7,Listas!$A$2:$B$13,2,FALSE)</x:f>
        <x:v>Valparaíso</x:v>
      </x:c>
      <x:c r="H7" t="str">
        <x:f>VLOOKUP('Datos_Brutos'!G7,Listas!$D$2:$E$10,2,FALSE)</x:f>
        <x:v>Web</x:v>
      </x:c>
      <x:c r="I7" t="n">
        <x:f>'Datos_Brutos'!H7</x:f>
        <x:v>4</x:v>
      </x:c>
      <x:c r="J7" s="12" t="n">
        <x:f>'Datos_Brutos'!I7</x:f>
        <x:v>14990</x:v>
      </x:c>
      <x:c r="K7" s="12" t="n">
        <x:f>'Datos_Brutos'!J7</x:f>
        <x:v>7200</x:v>
      </x:c>
      <x:c r="L7" s="14" t="n">
        <x:f>'Datos_Brutos'!K7</x:f>
        <x:v>0</x:v>
      </x:c>
      <x:c r="M7" t="str">
        <x:f>VLOOKUP('Datos_Brutos'!L7,Listas!$G$2:$H$10,2,FALSE)</x:f>
        <x:v>Completado</x:v>
      </x:c>
      <x:c r="N7" s="12" t="n">
        <x:f>I7*J7</x:f>
        <x:v>59960</x:v>
      </x:c>
      <x:c r="O7" s="12" t="n">
        <x:f>IF(M7="Cancelado",0,N7*(1-L7))</x:f>
        <x:v>59960</x:v>
      </x:c>
      <x:c r="P7" s="12" t="n">
        <x:f>IF(M7="Cancelado",0,I7*K7)</x:f>
        <x:v>28800</x:v>
      </x:c>
      <x:c r="Q7" s="12" t="n">
        <x:f>O7-P7</x:f>
        <x:v>31160</x:v>
      </x:c>
      <x:c r="R7" s="26" t="n">
        <x:f>IF(O7=0,0,Q7/O7)</x:f>
        <x:v>0.5196797865243495</x:v>
      </x:c>
    </x:row>
    <x:row r="8">
      <x:c r="A8" t="str">
        <x:f>'Datos_Brutos'!A8</x:f>
        <x:v>V-0007</x:v>
      </x:c>
      <x:c r="B8" s="10" t="n">
        <x:f>'Datos_Brutos'!B8</x:f>
        <x:v>46076</x:v>
      </x:c>
      <x:c r="C8" t="str">
        <x:f>TEXT(B8,"yyyy-mm")</x:f>
        <x:v>2026-02</x:v>
      </x:c>
      <x:c r="D8" t="str">
        <x:f>'Datos_Brutos'!C8</x:f>
        <x:v>Cliente 035</x:v>
      </x:c>
      <x:c r="E8" t="str">
        <x:f>'Datos_Brutos'!D8</x:f>
        <x:v>Planner</x:v>
      </x:c>
      <x:c r="F8" t="str">
        <x:f>'Datos_Brutos'!E8</x:f>
        <x:v>Papelería</x:v>
      </x:c>
      <x:c r="G8" t="str">
        <x:f>VLOOKUP('Datos_Brutos'!F8,Listas!$A$2:$B$13,2,FALSE)</x:f>
        <x:v>Metropolitana</x:v>
      </x:c>
      <x:c r="H8" t="str">
        <x:f>VLOOKUP('Datos_Brutos'!G8,Listas!$D$2:$E$10,2,FALSE)</x:f>
        <x:v>Instagram</x:v>
      </x:c>
      <x:c r="I8" t="n">
        <x:f>'Datos_Brutos'!H8</x:f>
        <x:v>1</x:v>
      </x:c>
      <x:c r="J8" s="12" t="n">
        <x:f>'Datos_Brutos'!I8</x:f>
        <x:v>12990</x:v>
      </x:c>
      <x:c r="K8" s="12" t="n">
        <x:f>'Datos_Brutos'!J8</x:f>
        <x:v>4800</x:v>
      </x:c>
      <x:c r="L8" s="14" t="n">
        <x:f>'Datos_Brutos'!K8</x:f>
        <x:v>0</x:v>
      </x:c>
      <x:c r="M8" t="str">
        <x:f>VLOOKUP('Datos_Brutos'!L8,Listas!$G$2:$H$10,2,FALSE)</x:f>
        <x:v>Completado</x:v>
      </x:c>
      <x:c r="N8" s="12" t="n">
        <x:f>I8*J8</x:f>
        <x:v>12990</x:v>
      </x:c>
      <x:c r="O8" s="12" t="n">
        <x:f>IF(M8="Cancelado",0,N8*(1-L8))</x:f>
        <x:v>12990</x:v>
      </x:c>
      <x:c r="P8" s="12" t="n">
        <x:f>IF(M8="Cancelado",0,I8*K8)</x:f>
        <x:v>4800</x:v>
      </x:c>
      <x:c r="Q8" s="12" t="n">
        <x:f>O8-P8</x:f>
        <x:v>8190</x:v>
      </x:c>
      <x:c r="R8" s="26" t="n">
        <x:f>IF(O8=0,0,Q8/O8)</x:f>
        <x:v>0.6304849884526559</x:v>
      </x:c>
    </x:row>
    <x:row r="9">
      <x:c r="A9" t="str">
        <x:f>'Datos_Brutos'!A9</x:f>
        <x:v>V-0008</x:v>
      </x:c>
      <x:c r="B9" s="10" t="n">
        <x:f>'Datos_Brutos'!B9</x:f>
        <x:v>46259</x:v>
      </x:c>
      <x:c r="C9" t="str">
        <x:f>TEXT(B9,"yyyy-mm")</x:f>
        <x:v>2026-08</x:v>
      </x:c>
      <x:c r="D9" t="str">
        <x:f>'Datos_Brutos'!C9</x:f>
        <x:v>Cliente 052</x:v>
      </x:c>
      <x:c r="E9" t="str">
        <x:f>'Datos_Brutos'!D9</x:f>
        <x:v>Planner</x:v>
      </x:c>
      <x:c r="F9" t="str">
        <x:f>'Datos_Brutos'!E9</x:f>
        <x:v>Papelería</x:v>
      </x:c>
      <x:c r="G9" t="str">
        <x:f>VLOOKUP('Datos_Brutos'!F9,Listas!$A$2:$B$13,2,FALSE)</x:f>
        <x:v>Valparaíso</x:v>
      </x:c>
      <x:c r="H9" t="str">
        <x:f>VLOOKUP('Datos_Brutos'!G9,Listas!$D$2:$E$10,2,FALSE)</x:f>
        <x:v>Web</x:v>
      </x:c>
      <x:c r="I9" t="n">
        <x:f>'Datos_Brutos'!H9</x:f>
        <x:v>2</x:v>
      </x:c>
      <x:c r="J9" s="12" t="n">
        <x:f>'Datos_Brutos'!I9</x:f>
        <x:v>12990</x:v>
      </x:c>
      <x:c r="K9" s="12" t="n">
        <x:f>'Datos_Brutos'!J9</x:f>
        <x:v>4800</x:v>
      </x:c>
      <x:c r="L9" s="14" t="n">
        <x:f>'Datos_Brutos'!K9</x:f>
        <x:v>0.1</x:v>
      </x:c>
      <x:c r="M9" t="str">
        <x:f>VLOOKUP('Datos_Brutos'!L9,Listas!$G$2:$H$10,2,FALSE)</x:f>
        <x:v>Completado</x:v>
      </x:c>
      <x:c r="N9" s="12" t="n">
        <x:f>I9*J9</x:f>
        <x:v>25980</x:v>
      </x:c>
      <x:c r="O9" s="12" t="n">
        <x:f>IF(M9="Cancelado",0,N9*(1-L9))</x:f>
        <x:v>23382</x:v>
      </x:c>
      <x:c r="P9" s="12" t="n">
        <x:f>IF(M9="Cancelado",0,I9*K9)</x:f>
        <x:v>9600</x:v>
      </x:c>
      <x:c r="Q9" s="12" t="n">
        <x:f>O9-P9</x:f>
        <x:v>13782</x:v>
      </x:c>
      <x:c r="R9" s="26" t="n">
        <x:f>IF(O9=0,0,Q9/O9)</x:f>
        <x:v>0.5894277649473955</x:v>
      </x:c>
    </x:row>
    <x:row r="10">
      <x:c r="A10" t="str">
        <x:f>'Datos_Brutos'!A10</x:f>
        <x:v>V-0009</x:v>
      </x:c>
      <x:c r="B10" s="10" t="n">
        <x:f>'Datos_Brutos'!B10</x:f>
        <x:v>46091</x:v>
      </x:c>
      <x:c r="C10" t="str">
        <x:f>TEXT(B10,"yyyy-mm")</x:f>
        <x:v>2026-03</x:v>
      </x:c>
      <x:c r="D10" t="str">
        <x:f>'Datos_Brutos'!C10</x:f>
        <x:v>Cliente 034</x:v>
      </x:c>
      <x:c r="E10" t="str">
        <x:f>'Datos_Brutos'!D10</x:f>
        <x:v>Teclado</x:v>
      </x:c>
      <x:c r="F10" t="str">
        <x:f>'Datos_Brutos'!E10</x:f>
        <x:v>Tecnología</x:v>
      </x:c>
      <x:c r="G10" t="str">
        <x:f>VLOOKUP('Datos_Brutos'!F10,Listas!$A$2:$B$13,2,FALSE)</x:f>
        <x:v>Biobío</x:v>
      </x:c>
      <x:c r="H10" t="str">
        <x:f>VLOOKUP('Datos_Brutos'!G10,Listas!$D$2:$E$10,2,FALSE)</x:f>
        <x:v>Instagram</x:v>
      </x:c>
      <x:c r="I10" t="n">
        <x:f>'Datos_Brutos'!H10</x:f>
        <x:v>1</x:v>
      </x:c>
      <x:c r="J10" s="12" t="n">
        <x:f>'Datos_Brutos'!I10</x:f>
        <x:v>32990</x:v>
      </x:c>
      <x:c r="K10" s="12" t="n">
        <x:f>'Datos_Brutos'!J10</x:f>
        <x:v>18500</x:v>
      </x:c>
      <x:c r="L10" s="14" t="n">
        <x:f>'Datos_Brutos'!K10</x:f>
        <x:v>0</x:v>
      </x:c>
      <x:c r="M10" t="str">
        <x:f>VLOOKUP('Datos_Brutos'!L10,Listas!$G$2:$H$10,2,FALSE)</x:f>
        <x:v>Pendiente</x:v>
      </x:c>
      <x:c r="N10" s="12" t="n">
        <x:f>I10*J10</x:f>
        <x:v>32990</x:v>
      </x:c>
      <x:c r="O10" s="12" t="n">
        <x:f>IF(M10="Cancelado",0,N10*(1-L10))</x:f>
        <x:v>32990</x:v>
      </x:c>
      <x:c r="P10" s="12" t="n">
        <x:f>IF(M10="Cancelado",0,I10*K10)</x:f>
        <x:v>18500</x:v>
      </x:c>
      <x:c r="Q10" s="12" t="n">
        <x:f>O10-P10</x:f>
        <x:v>14490</x:v>
      </x:c>
      <x:c r="R10" s="26" t="n">
        <x:f>IF(O10=0,0,Q10/O10)</x:f>
        <x:v>0.43922400727493177</x:v>
      </x:c>
    </x:row>
    <x:row r="11">
      <x:c r="A11" t="str">
        <x:f>'Datos_Brutos'!A11</x:f>
        <x:v>V-0010</x:v>
      </x:c>
      <x:c r="B11" s="10" t="n">
        <x:f>'Datos_Brutos'!B11</x:f>
        <x:v>46058</x:v>
      </x:c>
      <x:c r="C11" t="str">
        <x:f>TEXT(B11,"yyyy-mm")</x:f>
        <x:v>2026-02</x:v>
      </x:c>
      <x:c r="D11" t="str">
        <x:f>'Datos_Brutos'!C11</x:f>
        <x:v>Cliente 018</x:v>
      </x:c>
      <x:c r="E11" t="str">
        <x:f>'Datos_Brutos'!D11</x:f>
        <x:v>Lámpara</x:v>
      </x:c>
      <x:c r="F11" t="str">
        <x:f>'Datos_Brutos'!E11</x:f>
        <x:v>Hogar</x:v>
      </x:c>
      <x:c r="G11" t="str">
        <x:f>VLOOKUP('Datos_Brutos'!F11,Listas!$A$2:$B$13,2,FALSE)</x:f>
        <x:v>Biobío</x:v>
      </x:c>
      <x:c r="H11" t="str">
        <x:f>VLOOKUP('Datos_Brutos'!G11,Listas!$D$2:$E$10,2,FALSE)</x:f>
        <x:v>Instagram</x:v>
      </x:c>
      <x:c r="I11" t="n">
        <x:f>'Datos_Brutos'!H11</x:f>
        <x:v>2</x:v>
      </x:c>
      <x:c r="J11" s="12" t="n">
        <x:f>'Datos_Brutos'!I11</x:f>
        <x:v>21990</x:v>
      </x:c>
      <x:c r="K11" s="12" t="n">
        <x:f>'Datos_Brutos'!J11</x:f>
        <x:v>11000</x:v>
      </x:c>
      <x:c r="L11" s="14" t="n">
        <x:f>'Datos_Brutos'!K11</x:f>
        <x:v>0.15</x:v>
      </x:c>
      <x:c r="M11" t="str">
        <x:f>VLOOKUP('Datos_Brutos'!L11,Listas!$G$2:$H$10,2,FALSE)</x:f>
        <x:v>Completado</x:v>
      </x:c>
      <x:c r="N11" s="12" t="n">
        <x:f>I11*J11</x:f>
        <x:v>43980</x:v>
      </x:c>
      <x:c r="O11" s="12" t="n">
        <x:f>IF(M11="Cancelado",0,N11*(1-L11))</x:f>
        <x:v>37383</x:v>
      </x:c>
      <x:c r="P11" s="12" t="n">
        <x:f>IF(M11="Cancelado",0,I11*K11)</x:f>
        <x:v>22000</x:v>
      </x:c>
      <x:c r="Q11" s="12" t="n">
        <x:f>O11-P11</x:f>
        <x:v>15383</x:v>
      </x:c>
      <x:c r="R11" s="26" t="n">
        <x:f>IF(O11=0,0,Q11/O11)</x:f>
        <x:v>0.4114972046117219</x:v>
      </x:c>
    </x:row>
    <x:row r="12">
      <x:c r="A12" t="str">
        <x:f>'Datos_Brutos'!A12</x:f>
        <x:v>V-0011</x:v>
      </x:c>
      <x:c r="B12" s="10" t="n">
        <x:f>'Datos_Brutos'!B12</x:f>
        <x:v>46153</x:v>
      </x:c>
      <x:c r="C12" t="str">
        <x:f>TEXT(B12,"yyyy-mm")</x:f>
        <x:v>2026-05</x:v>
      </x:c>
      <x:c r="D12" t="str">
        <x:f>'Datos_Brutos'!C12</x:f>
        <x:v>Cliente 050</x:v>
      </x:c>
      <x:c r="E12" t="str">
        <x:f>'Datos_Brutos'!D12</x:f>
        <x:v>Polerón</x:v>
      </x:c>
      <x:c r="F12" t="str">
        <x:f>'Datos_Brutos'!E12</x:f>
        <x:v>Moda</x:v>
      </x:c>
      <x:c r="G12" t="str">
        <x:f>VLOOKUP('Datos_Brutos'!F12,Listas!$A$2:$B$13,2,FALSE)</x:f>
        <x:v>Metropolitana</x:v>
      </x:c>
      <x:c r="H12" t="str">
        <x:f>VLOOKUP('Datos_Brutos'!G12,Listas!$D$2:$E$10,2,FALSE)</x:f>
        <x:v>Web</x:v>
      </x:c>
      <x:c r="I12" t="n">
        <x:f>'Datos_Brutos'!H12</x:f>
        <x:v>1</x:v>
      </x:c>
      <x:c r="J12" s="12" t="n">
        <x:f>'Datos_Brutos'!I12</x:f>
        <x:v>29990</x:v>
      </x:c>
      <x:c r="K12" s="12" t="n">
        <x:f>'Datos_Brutos'!J12</x:f>
        <x:v>13500</x:v>
      </x:c>
      <x:c r="L12" s="14" t="n">
        <x:f>'Datos_Brutos'!K12</x:f>
        <x:v>0.05</x:v>
      </x:c>
      <x:c r="M12" t="str">
        <x:f>VLOOKUP('Datos_Brutos'!L12,Listas!$G$2:$H$10,2,FALSE)</x:f>
        <x:v>Completado</x:v>
      </x:c>
      <x:c r="N12" s="12" t="n">
        <x:f>I12*J12</x:f>
        <x:v>29990</x:v>
      </x:c>
      <x:c r="O12" s="12" t="n">
        <x:f>IF(M12="Cancelado",0,N12*(1-L12))</x:f>
        <x:v>28490.5</x:v>
      </x:c>
      <x:c r="P12" s="12" t="n">
        <x:f>IF(M12="Cancelado",0,I12*K12)</x:f>
        <x:v>13500</x:v>
      </x:c>
      <x:c r="Q12" s="12" t="n">
        <x:f>O12-P12</x:f>
        <x:v>14990.5</x:v>
      </x:c>
      <x:c r="R12" s="26" t="n">
        <x:f>IF(O12=0,0,Q12/O12)</x:f>
        <x:v>0.5261578420877134</x:v>
      </x:c>
    </x:row>
    <x:row r="13">
      <x:c r="A13" t="str">
        <x:f>'Datos_Brutos'!A13</x:f>
        <x:v>V-0012</x:v>
      </x:c>
      <x:c r="B13" s="10" t="n">
        <x:f>'Datos_Brutos'!B13</x:f>
        <x:v>46120</x:v>
      </x:c>
      <x:c r="C13" t="str">
        <x:f>TEXT(B13,"yyyy-mm")</x:f>
        <x:v>2026-04</x:v>
      </x:c>
      <x:c r="D13" t="str">
        <x:f>'Datos_Brutos'!C13</x:f>
        <x:v>Cliente 069</x:v>
      </x:c>
      <x:c r="E13" t="str">
        <x:f>'Datos_Brutos'!D13</x:f>
        <x:v>Cuaderno premium</x:v>
      </x:c>
      <x:c r="F13" t="str">
        <x:f>'Datos_Brutos'!E13</x:f>
        <x:v>Papelería</x:v>
      </x:c>
      <x:c r="G13" t="str">
        <x:f>VLOOKUP('Datos_Brutos'!F13,Listas!$A$2:$B$13,2,FALSE)</x:f>
        <x:v>Biobío</x:v>
      </x:c>
      <x:c r="H13" t="str">
        <x:f>VLOOKUP('Datos_Brutos'!G13,Listas!$D$2:$E$10,2,FALSE)</x:f>
        <x:v>Marketplace</x:v>
      </x:c>
      <x:c r="I13" t="n">
        <x:f>'Datos_Brutos'!H13</x:f>
        <x:v>4</x:v>
      </x:c>
      <x:c r="J13" s="12" t="n">
        <x:f>'Datos_Brutos'!I13</x:f>
        <x:v>9990</x:v>
      </x:c>
      <x:c r="K13" s="12" t="n">
        <x:f>'Datos_Brutos'!J13</x:f>
        <x:v>3900</x:v>
      </x:c>
      <x:c r="L13" s="14" t="n">
        <x:f>'Datos_Brutos'!K13</x:f>
        <x:v>0.05</x:v>
      </x:c>
      <x:c r="M13" t="str">
        <x:f>VLOOKUP('Datos_Brutos'!L13,Listas!$G$2:$H$10,2,FALSE)</x:f>
        <x:v>Completado</x:v>
      </x:c>
      <x:c r="N13" s="12" t="n">
        <x:f>I13*J13</x:f>
        <x:v>39960</x:v>
      </x:c>
      <x:c r="O13" s="12" t="n">
        <x:f>IF(M13="Cancelado",0,N13*(1-L13))</x:f>
        <x:v>37962</x:v>
      </x:c>
      <x:c r="P13" s="12" t="n">
        <x:f>IF(M13="Cancelado",0,I13*K13)</x:f>
        <x:v>15600</x:v>
      </x:c>
      <x:c r="Q13" s="12" t="n">
        <x:f>O13-P13</x:f>
        <x:v>22362</x:v>
      </x:c>
      <x:c r="R13" s="26" t="n">
        <x:f>IF(O13=0,0,Q13/O13)</x:f>
        <x:v>0.5890627469574838</x:v>
      </x:c>
    </x:row>
    <x:row r="14">
      <x:c r="A14" t="str">
        <x:f>'Datos_Brutos'!A14</x:f>
        <x:v>V-0013</x:v>
      </x:c>
      <x:c r="B14" s="10" t="n">
        <x:f>'Datos_Brutos'!B14</x:f>
        <x:v>46215</x:v>
      </x:c>
      <x:c r="C14" t="str">
        <x:f>TEXT(B14,"yyyy-mm")</x:f>
        <x:v>2026-07</x:v>
      </x:c>
      <x:c r="D14" t="str">
        <x:f>'Datos_Brutos'!C14</x:f>
        <x:v>Cliente 034</x:v>
      </x:c>
      <x:c r="E14" t="str">
        <x:f>'Datos_Brutos'!D14</x:f>
        <x:v>Organizador</x:v>
      </x:c>
      <x:c r="F14" t="str">
        <x:f>'Datos_Brutos'!E14</x:f>
        <x:v>Hogar</x:v>
      </x:c>
      <x:c r="G14" t="str">
        <x:f>VLOOKUP('Datos_Brutos'!F14,Listas!$A$2:$B$13,2,FALSE)</x:f>
        <x:v>Biobío</x:v>
      </x:c>
      <x:c r="H14" t="str">
        <x:f>VLOOKUP('Datos_Brutos'!G14,Listas!$D$2:$E$10,2,FALSE)</x:f>
        <x:v>Web</x:v>
      </x:c>
      <x:c r="I14" t="n">
        <x:f>'Datos_Brutos'!H14</x:f>
        <x:v>2</x:v>
      </x:c>
      <x:c r="J14" s="12" t="n">
        <x:f>'Datos_Brutos'!I14</x:f>
        <x:v>14990</x:v>
      </x:c>
      <x:c r="K14" s="12" t="n">
        <x:f>'Datos_Brutos'!J14</x:f>
        <x:v>7200</x:v>
      </x:c>
      <x:c r="L14" s="14" t="n">
        <x:f>'Datos_Brutos'!K14</x:f>
        <x:v>0.1</x:v>
      </x:c>
      <x:c r="M14" t="str">
        <x:f>VLOOKUP('Datos_Brutos'!L14,Listas!$G$2:$H$10,2,FALSE)</x:f>
        <x:v>Completado</x:v>
      </x:c>
      <x:c r="N14" s="12" t="n">
        <x:f>I14*J14</x:f>
        <x:v>29980</x:v>
      </x:c>
      <x:c r="O14" s="12" t="n">
        <x:f>IF(M14="Cancelado",0,N14*(1-L14))</x:f>
        <x:v>26982</x:v>
      </x:c>
      <x:c r="P14" s="12" t="n">
        <x:f>IF(M14="Cancelado",0,I14*K14)</x:f>
        <x:v>14400</x:v>
      </x:c>
      <x:c r="Q14" s="12" t="n">
        <x:f>O14-P14</x:f>
        <x:v>12582</x:v>
      </x:c>
      <x:c r="R14" s="26" t="n">
        <x:f>IF(O14=0,0,Q14/O14)</x:f>
        <x:v>0.46631087391594395</x:v>
      </x:c>
    </x:row>
    <x:row r="15">
      <x:c r="A15" t="str">
        <x:f>'Datos_Brutos'!A15</x:f>
        <x:v>V-0014</x:v>
      </x:c>
      <x:c r="B15" s="10" t="n">
        <x:f>'Datos_Brutos'!B15</x:f>
        <x:v>46151</x:v>
      </x:c>
      <x:c r="C15" t="str">
        <x:f>TEXT(B15,"yyyy-mm")</x:f>
        <x:v>2026-05</x:v>
      </x:c>
      <x:c r="D15" t="str">
        <x:f>'Datos_Brutos'!C15</x:f>
        <x:v>Cliente 021</x:v>
      </x:c>
      <x:c r="E15" t="str">
        <x:f>'Datos_Brutos'!D15</x:f>
        <x:v>Mouse</x:v>
      </x:c>
      <x:c r="F15" t="str">
        <x:f>'Datos_Brutos'!E15</x:f>
        <x:v>Tecnología</x:v>
      </x:c>
      <x:c r="G15" t="str">
        <x:f>VLOOKUP('Datos_Brutos'!F15,Listas!$A$2:$B$13,2,FALSE)</x:f>
        <x:v>Metropolitana</x:v>
      </x:c>
      <x:c r="H15" t="str">
        <x:f>VLOOKUP('Datos_Brutos'!G15,Listas!$D$2:$E$10,2,FALSE)</x:f>
        <x:v>Web</x:v>
      </x:c>
      <x:c r="I15" t="n">
        <x:f>'Datos_Brutos'!H15</x:f>
        <x:v>1</x:v>
      </x:c>
      <x:c r="J15" s="12" t="n">
        <x:f>'Datos_Brutos'!I15</x:f>
        <x:v>18990</x:v>
      </x:c>
      <x:c r="K15" s="12" t="n">
        <x:f>'Datos_Brutos'!J15</x:f>
        <x:v>9800</x:v>
      </x:c>
      <x:c r="L15" s="14" t="n">
        <x:f>'Datos_Brutos'!K15</x:f>
        <x:v>0</x:v>
      </x:c>
      <x:c r="M15" t="str">
        <x:f>VLOOKUP('Datos_Brutos'!L15,Listas!$G$2:$H$10,2,FALSE)</x:f>
        <x:v>Completado</x:v>
      </x:c>
      <x:c r="N15" s="12" t="n">
        <x:f>I15*J15</x:f>
        <x:v>18990</x:v>
      </x:c>
      <x:c r="O15" s="12" t="n">
        <x:f>IF(M15="Cancelado",0,N15*(1-L15))</x:f>
        <x:v>18990</x:v>
      </x:c>
      <x:c r="P15" s="12" t="n">
        <x:f>IF(M15="Cancelado",0,I15*K15)</x:f>
        <x:v>9800</x:v>
      </x:c>
      <x:c r="Q15" s="12" t="n">
        <x:f>O15-P15</x:f>
        <x:v>9190</x:v>
      </x:c>
      <x:c r="R15" s="26" t="n">
        <x:f>IF(O15=0,0,Q15/O15)</x:f>
        <x:v>0.48393891521853605</x:v>
      </x:c>
    </x:row>
    <x:row r="16">
      <x:c r="A16" t="str">
        <x:f>'Datos_Brutos'!A16</x:f>
        <x:v>V-0015</x:v>
      </x:c>
      <x:c r="B16" s="10" t="n">
        <x:f>'Datos_Brutos'!B16</x:f>
        <x:v>46161</x:v>
      </x:c>
      <x:c r="C16" t="str">
        <x:f>TEXT(B16,"yyyy-mm")</x:f>
        <x:v>2026-05</x:v>
      </x:c>
      <x:c r="D16" t="str">
        <x:f>'Datos_Brutos'!C16</x:f>
        <x:v>Cliente 031</x:v>
      </x:c>
      <x:c r="E16" t="str">
        <x:f>'Datos_Brutos'!D16</x:f>
        <x:v>Mochila</x:v>
      </x:c>
      <x:c r="F16" t="str">
        <x:f>'Datos_Brutos'!E16</x:f>
        <x:v>Moda</x:v>
      </x:c>
      <x:c r="G16" t="str">
        <x:f>VLOOKUP('Datos_Brutos'!F16,Listas!$A$2:$B$13,2,FALSE)</x:f>
        <x:v>Biobío</x:v>
      </x:c>
      <x:c r="H16" t="str">
        <x:f>VLOOKUP('Datos_Brutos'!G16,Listas!$D$2:$E$10,2,FALSE)</x:f>
        <x:v>Web</x:v>
      </x:c>
      <x:c r="I16" t="n">
        <x:f>'Datos_Brutos'!H16</x:f>
        <x:v>3</x:v>
      </x:c>
      <x:c r="J16" s="12" t="n">
        <x:f>'Datos_Brutos'!I16</x:f>
        <x:v>26990</x:v>
      </x:c>
      <x:c r="K16" s="12" t="n">
        <x:f>'Datos_Brutos'!J16</x:f>
        <x:v>12000</x:v>
      </x:c>
      <x:c r="L16" s="14" t="n">
        <x:f>'Datos_Brutos'!K16</x:f>
        <x:v>0</x:v>
      </x:c>
      <x:c r="M16" t="str">
        <x:f>VLOOKUP('Datos_Brutos'!L16,Listas!$G$2:$H$10,2,FALSE)</x:f>
        <x:v>Pendiente</x:v>
      </x:c>
      <x:c r="N16" s="12" t="n">
        <x:f>I16*J16</x:f>
        <x:v>80970</x:v>
      </x:c>
      <x:c r="O16" s="12" t="n">
        <x:f>IF(M16="Cancelado",0,N16*(1-L16))</x:f>
        <x:v>80970</x:v>
      </x:c>
      <x:c r="P16" s="12" t="n">
        <x:f>IF(M16="Cancelado",0,I16*K16)</x:f>
        <x:v>36000</x:v>
      </x:c>
      <x:c r="Q16" s="12" t="n">
        <x:f>O16-P16</x:f>
        <x:v>44970</x:v>
      </x:c>
      <x:c r="R16" s="26" t="n">
        <x:f>IF(O16=0,0,Q16/O16)</x:f>
        <x:v>0.555390885513153</x:v>
      </x:c>
    </x:row>
    <x:row r="17">
      <x:c r="A17" t="str">
        <x:f>'Datos_Brutos'!A17</x:f>
        <x:v>V-0016</x:v>
      </x:c>
      <x:c r="B17" s="10" t="n">
        <x:f>'Datos_Brutos'!B17</x:f>
        <x:v>46247</x:v>
      </x:c>
      <x:c r="C17" t="str">
        <x:f>TEXT(B17,"yyyy-mm")</x:f>
        <x:v>2026-08</x:v>
      </x:c>
      <x:c r="D17" t="str">
        <x:f>'Datos_Brutos'!C17</x:f>
        <x:v>Cliente 017</x:v>
      </x:c>
      <x:c r="E17" t="str">
        <x:f>'Datos_Brutos'!D17</x:f>
        <x:v>Cuaderno premium</x:v>
      </x:c>
      <x:c r="F17" t="str">
        <x:f>'Datos_Brutos'!E17</x:f>
        <x:v>Papelería</x:v>
      </x:c>
      <x:c r="G17" t="str">
        <x:f>VLOOKUP('Datos_Brutos'!F17,Listas!$A$2:$B$13,2,FALSE)</x:f>
        <x:v>Metropolitana</x:v>
      </x:c>
      <x:c r="H17" t="str">
        <x:f>VLOOKUP('Datos_Brutos'!G17,Listas!$D$2:$E$10,2,FALSE)</x:f>
        <x:v>Web</x:v>
      </x:c>
      <x:c r="I17" t="n">
        <x:f>'Datos_Brutos'!H17</x:f>
        <x:v>3</x:v>
      </x:c>
      <x:c r="J17" s="12" t="n">
        <x:f>'Datos_Brutos'!I17</x:f>
        <x:v>9990</x:v>
      </x:c>
      <x:c r="K17" s="12" t="n">
        <x:f>'Datos_Brutos'!J17</x:f>
        <x:v>3900</x:v>
      </x:c>
      <x:c r="L17" s="14" t="n">
        <x:f>'Datos_Brutos'!K17</x:f>
        <x:v>0.05</x:v>
      </x:c>
      <x:c r="M17" t="str">
        <x:f>VLOOKUP('Datos_Brutos'!L17,Listas!$G$2:$H$10,2,FALSE)</x:f>
        <x:v>Cancelado</x:v>
      </x:c>
      <x:c r="N17" s="12" t="n">
        <x:f>I17*J17</x:f>
        <x:v>29970</x:v>
      </x:c>
      <x:c r="O17" s="12" t="n">
        <x:f>IF(M17="Cancelado",0,N17*(1-L17))</x:f>
        <x:v>0</x:v>
      </x:c>
      <x:c r="P17" s="12" t="n">
        <x:f>IF(M17="Cancelado",0,I17*K17)</x:f>
        <x:v>0</x:v>
      </x:c>
      <x:c r="Q17" s="12" t="n">
        <x:f>O17-P17</x:f>
        <x:v>0</x:v>
      </x:c>
      <x:c r="R17" s="26" t="n">
        <x:f>IF(O17=0,0,Q17/O17)</x:f>
        <x:v>0</x:v>
      </x:c>
    </x:row>
    <x:row r="18">
      <x:c r="A18" t="str">
        <x:f>'Datos_Brutos'!A18</x:f>
        <x:v>V-0017</x:v>
      </x:c>
      <x:c r="B18" s="10" t="n">
        <x:f>'Datos_Brutos'!B18</x:f>
        <x:v>46191</x:v>
      </x:c>
      <x:c r="C18" t="str">
        <x:f>TEXT(B18,"yyyy-mm")</x:f>
        <x:v>2026-06</x:v>
      </x:c>
      <x:c r="D18" t="str">
        <x:f>'Datos_Brutos'!C18</x:f>
        <x:v>Cliente 026</x:v>
      </x:c>
      <x:c r="E18" t="str">
        <x:f>'Datos_Brutos'!D18</x:f>
        <x:v>Polerón</x:v>
      </x:c>
      <x:c r="F18" t="str">
        <x:f>'Datos_Brutos'!E18</x:f>
        <x:v>Moda</x:v>
      </x:c>
      <x:c r="G18" t="str">
        <x:f>VLOOKUP('Datos_Brutos'!F18,Listas!$A$2:$B$13,2,FALSE)</x:f>
        <x:v>Valparaíso</x:v>
      </x:c>
      <x:c r="H18" t="str">
        <x:f>VLOOKUP('Datos_Brutos'!G18,Listas!$D$2:$E$10,2,FALSE)</x:f>
        <x:v>Web</x:v>
      </x:c>
      <x:c r="I18" t="n">
        <x:f>'Datos_Brutos'!H18</x:f>
        <x:v>3</x:v>
      </x:c>
      <x:c r="J18" s="12" t="n">
        <x:f>'Datos_Brutos'!I18</x:f>
        <x:v>29990</x:v>
      </x:c>
      <x:c r="K18" s="12" t="n">
        <x:f>'Datos_Brutos'!J18</x:f>
        <x:v>13500</x:v>
      </x:c>
      <x:c r="L18" s="14" t="n">
        <x:f>'Datos_Brutos'!K18</x:f>
        <x:v>0.1</x:v>
      </x:c>
      <x:c r="M18" t="str">
        <x:f>VLOOKUP('Datos_Brutos'!L18,Listas!$G$2:$H$10,2,FALSE)</x:f>
        <x:v>Completado</x:v>
      </x:c>
      <x:c r="N18" s="12" t="n">
        <x:f>I18*J18</x:f>
        <x:v>89970</x:v>
      </x:c>
      <x:c r="O18" s="12" t="n">
        <x:f>IF(M18="Cancelado",0,N18*(1-L18))</x:f>
        <x:v>80973</x:v>
      </x:c>
      <x:c r="P18" s="12" t="n">
        <x:f>IF(M18="Cancelado",0,I18*K18)</x:f>
        <x:v>40500</x:v>
      </x:c>
      <x:c r="Q18" s="12" t="n">
        <x:f>O18-P18</x:f>
        <x:v>40473</x:v>
      </x:c>
      <x:c r="R18" s="26" t="n">
        <x:f>IF(O18=0,0,Q18/O18)</x:f>
        <x:v>0.49983327775925307</x:v>
      </x:c>
    </x:row>
    <x:row r="19">
      <x:c r="A19" t="str">
        <x:f>'Datos_Brutos'!A19</x:f>
        <x:v>V-0018</x:v>
      </x:c>
      <x:c r="B19" s="10" t="n">
        <x:f>'Datos_Brutos'!B19</x:f>
        <x:v>46205</x:v>
      </x:c>
      <x:c r="C19" t="str">
        <x:f>TEXT(B19,"yyyy-mm")</x:f>
        <x:v>2026-07</x:v>
      </x:c>
      <x:c r="D19" t="str">
        <x:f>'Datos_Brutos'!C19</x:f>
        <x:v>Cliente 003</x:v>
      </x:c>
      <x:c r="E19" t="str">
        <x:f>'Datos_Brutos'!D19</x:f>
        <x:v>Organizador</x:v>
      </x:c>
      <x:c r="F19" t="str">
        <x:f>'Datos_Brutos'!E19</x:f>
        <x:v>Hogar</x:v>
      </x:c>
      <x:c r="G19" t="str">
        <x:f>VLOOKUP('Datos_Brutos'!F19,Listas!$A$2:$B$13,2,FALSE)</x:f>
        <x:v>Biobío</x:v>
      </x:c>
      <x:c r="H19" t="str">
        <x:f>VLOOKUP('Datos_Brutos'!G19,Listas!$D$2:$E$10,2,FALSE)</x:f>
        <x:v>Marketplace</x:v>
      </x:c>
      <x:c r="I19" t="n">
        <x:f>'Datos_Brutos'!H19</x:f>
        <x:v>1</x:v>
      </x:c>
      <x:c r="J19" s="12" t="n">
        <x:f>'Datos_Brutos'!I19</x:f>
        <x:v>14990</x:v>
      </x:c>
      <x:c r="K19" s="12" t="n">
        <x:f>'Datos_Brutos'!J19</x:f>
        <x:v>7200</x:v>
      </x:c>
      <x:c r="L19" s="14" t="n">
        <x:f>'Datos_Brutos'!K19</x:f>
        <x:v>0</x:v>
      </x:c>
      <x:c r="M19" t="str">
        <x:f>VLOOKUP('Datos_Brutos'!L19,Listas!$G$2:$H$10,2,FALSE)</x:f>
        <x:v>Completado</x:v>
      </x:c>
      <x:c r="N19" s="12" t="n">
        <x:f>I19*J19</x:f>
        <x:v>14990</x:v>
      </x:c>
      <x:c r="O19" s="12" t="n">
        <x:f>IF(M19="Cancelado",0,N19*(1-L19))</x:f>
        <x:v>14990</x:v>
      </x:c>
      <x:c r="P19" s="12" t="n">
        <x:f>IF(M19="Cancelado",0,I19*K19)</x:f>
        <x:v>7200</x:v>
      </x:c>
      <x:c r="Q19" s="12" t="n">
        <x:f>O19-P19</x:f>
        <x:v>7790</x:v>
      </x:c>
      <x:c r="R19" s="26" t="n">
        <x:f>IF(O19=0,0,Q19/O19)</x:f>
        <x:v>0.5196797865243495</x:v>
      </x:c>
    </x:row>
    <x:row r="20">
      <x:c r="A20" t="str">
        <x:f>'Datos_Brutos'!A20</x:f>
        <x:v>V-0019</x:v>
      </x:c>
      <x:c r="B20" s="10" t="n">
        <x:f>'Datos_Brutos'!B20</x:f>
        <x:v>46173</x:v>
      </x:c>
      <x:c r="C20" t="str">
        <x:f>TEXT(B20,"yyyy-mm")</x:f>
        <x:v>2026-05</x:v>
      </x:c>
      <x:c r="D20" t="str">
        <x:f>'Datos_Brutos'!C20</x:f>
        <x:v>Cliente 043</x:v>
      </x:c>
      <x:c r="E20" t="str">
        <x:f>'Datos_Brutos'!D20</x:f>
        <x:v>Mochila</x:v>
      </x:c>
      <x:c r="F20" t="str">
        <x:f>'Datos_Brutos'!E20</x:f>
        <x:v>Moda</x:v>
      </x:c>
      <x:c r="G20" t="str">
        <x:f>VLOOKUP('Datos_Brutos'!F20,Listas!$A$2:$B$13,2,FALSE)</x:f>
        <x:v>Valparaíso</x:v>
      </x:c>
      <x:c r="H20" t="str">
        <x:f>VLOOKUP('Datos_Brutos'!G20,Listas!$D$2:$E$10,2,FALSE)</x:f>
        <x:v>Web</x:v>
      </x:c>
      <x:c r="I20" t="n">
        <x:f>'Datos_Brutos'!H20</x:f>
        <x:v>1</x:v>
      </x:c>
      <x:c r="J20" s="12" t="n">
        <x:f>'Datos_Brutos'!I20</x:f>
        <x:v>26990</x:v>
      </x:c>
      <x:c r="K20" s="12" t="n">
        <x:f>'Datos_Brutos'!J20</x:f>
        <x:v>12000</x:v>
      </x:c>
      <x:c r="L20" s="14" t="n">
        <x:f>'Datos_Brutos'!K20</x:f>
        <x:v>0.1</x:v>
      </x:c>
      <x:c r="M20" t="str">
        <x:f>VLOOKUP('Datos_Brutos'!L20,Listas!$G$2:$H$10,2,FALSE)</x:f>
        <x:v>Completado</x:v>
      </x:c>
      <x:c r="N20" s="12" t="n">
        <x:f>I20*J20</x:f>
        <x:v>26990</x:v>
      </x:c>
      <x:c r="O20" s="12" t="n">
        <x:f>IF(M20="Cancelado",0,N20*(1-L20))</x:f>
        <x:v>24291</x:v>
      </x:c>
      <x:c r="P20" s="12" t="n">
        <x:f>IF(M20="Cancelado",0,I20*K20)</x:f>
        <x:v>12000</x:v>
      </x:c>
      <x:c r="Q20" s="12" t="n">
        <x:f>O20-P20</x:f>
        <x:v>12291</x:v>
      </x:c>
      <x:c r="R20" s="26" t="n">
        <x:f>IF(O20=0,0,Q20/O20)</x:f>
        <x:v>0.5059898727923923</x:v>
      </x:c>
    </x:row>
    <x:row r="21">
      <x:c r="A21" t="str">
        <x:f>'Datos_Brutos'!A21</x:f>
        <x:v>V-0020</x:v>
      </x:c>
      <x:c r="B21" s="10" t="n">
        <x:f>'Datos_Brutos'!B21</x:f>
        <x:v>46041</x:v>
      </x:c>
      <x:c r="C21" t="str">
        <x:f>TEXT(B21,"yyyy-mm")</x:f>
        <x:v>2026-01</x:v>
      </x:c>
      <x:c r="D21" t="str">
        <x:f>'Datos_Brutos'!C21</x:f>
        <x:v>Cliente 032</x:v>
      </x:c>
      <x:c r="E21" t="str">
        <x:f>'Datos_Brutos'!D21</x:f>
        <x:v>Mochila</x:v>
      </x:c>
      <x:c r="F21" t="str">
        <x:f>'Datos_Brutos'!E21</x:f>
        <x:v>Moda</x:v>
      </x:c>
      <x:c r="G21" t="str">
        <x:f>VLOOKUP('Datos_Brutos'!F21,Listas!$A$2:$B$13,2,FALSE)</x:f>
        <x:v>Maule</x:v>
      </x:c>
      <x:c r="H21" t="str">
        <x:f>VLOOKUP('Datos_Brutos'!G21,Listas!$D$2:$E$10,2,FALSE)</x:f>
        <x:v>Web</x:v>
      </x:c>
      <x:c r="I21" t="n">
        <x:f>'Datos_Brutos'!H21</x:f>
        <x:v>1</x:v>
      </x:c>
      <x:c r="J21" s="12" t="n">
        <x:f>'Datos_Brutos'!I21</x:f>
        <x:v>26990</x:v>
      </x:c>
      <x:c r="K21" s="12" t="n">
        <x:f>'Datos_Brutos'!J21</x:f>
        <x:v>12000</x:v>
      </x:c>
      <x:c r="L21" s="14" t="n">
        <x:f>'Datos_Brutos'!K21</x:f>
        <x:v>0</x:v>
      </x:c>
      <x:c r="M21" t="str">
        <x:f>VLOOKUP('Datos_Brutos'!L21,Listas!$G$2:$H$10,2,FALSE)</x:f>
        <x:v>Cancelado</x:v>
      </x:c>
      <x:c r="N21" s="12" t="n">
        <x:f>I21*J21</x:f>
        <x:v>26990</x:v>
      </x:c>
      <x:c r="O21" s="12" t="n">
        <x:f>IF(M21="Cancelado",0,N21*(1-L21))</x:f>
        <x:v>0</x:v>
      </x:c>
      <x:c r="P21" s="12" t="n">
        <x:f>IF(M21="Cancelado",0,I21*K21)</x:f>
        <x:v>0</x:v>
      </x:c>
      <x:c r="Q21" s="12" t="n">
        <x:f>O21-P21</x:f>
        <x:v>0</x:v>
      </x:c>
      <x:c r="R21" s="26" t="n">
        <x:f>IF(O21=0,0,Q21/O21)</x:f>
        <x:v>0</x:v>
      </x:c>
    </x:row>
    <x:row r="22">
      <x:c r="A22" t="str">
        <x:f>'Datos_Brutos'!A22</x:f>
        <x:v>V-0021</x:v>
      </x:c>
      <x:c r="B22" s="10" t="n">
        <x:f>'Datos_Brutos'!B22</x:f>
        <x:v>46223</x:v>
      </x:c>
      <x:c r="C22" t="str">
        <x:f>TEXT(B22,"yyyy-mm")</x:f>
        <x:v>2026-07</x:v>
      </x:c>
      <x:c r="D22" t="str">
        <x:f>'Datos_Brutos'!C22</x:f>
        <x:v>Cliente 007</x:v>
      </x:c>
      <x:c r="E22" t="str">
        <x:f>'Datos_Brutos'!D22</x:f>
        <x:v>Polerón</x:v>
      </x:c>
      <x:c r="F22" t="str">
        <x:f>'Datos_Brutos'!E22</x:f>
        <x:v>Moda</x:v>
      </x:c>
      <x:c r="G22" t="str">
        <x:f>VLOOKUP('Datos_Brutos'!F22,Listas!$A$2:$B$13,2,FALSE)</x:f>
        <x:v>Valparaíso</x:v>
      </x:c>
      <x:c r="H22" t="str">
        <x:f>VLOOKUP('Datos_Brutos'!G22,Listas!$D$2:$E$10,2,FALSE)</x:f>
        <x:v>Web</x:v>
      </x:c>
      <x:c r="I22" t="n">
        <x:f>'Datos_Brutos'!H22</x:f>
        <x:v>2</x:v>
      </x:c>
      <x:c r="J22" s="12" t="n">
        <x:f>'Datos_Brutos'!I22</x:f>
        <x:v>29990</x:v>
      </x:c>
      <x:c r="K22" s="12" t="n">
        <x:f>'Datos_Brutos'!J22</x:f>
        <x:v>13500</x:v>
      </x:c>
      <x:c r="L22" s="14" t="n">
        <x:f>'Datos_Brutos'!K22</x:f>
        <x:v>0</x:v>
      </x:c>
      <x:c r="M22" t="str">
        <x:f>VLOOKUP('Datos_Brutos'!L22,Listas!$G$2:$H$10,2,FALSE)</x:f>
        <x:v>Completado</x:v>
      </x:c>
      <x:c r="N22" s="12" t="n">
        <x:f>I22*J22</x:f>
        <x:v>59980</x:v>
      </x:c>
      <x:c r="O22" s="12" t="n">
        <x:f>IF(M22="Cancelado",0,N22*(1-L22))</x:f>
        <x:v>59980</x:v>
      </x:c>
      <x:c r="P22" s="12" t="n">
        <x:f>IF(M22="Cancelado",0,I22*K22)</x:f>
        <x:v>27000</x:v>
      </x:c>
      <x:c r="Q22" s="12" t="n">
        <x:f>O22-P22</x:f>
        <x:v>32980</x:v>
      </x:c>
      <x:c r="R22" s="26" t="n">
        <x:f>IF(O22=0,0,Q22/O22)</x:f>
        <x:v>0.5498499499833278</x:v>
      </x:c>
    </x:row>
    <x:row r="23">
      <x:c r="A23" t="str">
        <x:f>'Datos_Brutos'!A23</x:f>
        <x:v>V-0022</x:v>
      </x:c>
      <x:c r="B23" s="10" t="n">
        <x:f>'Datos_Brutos'!B23</x:f>
        <x:v>46195</x:v>
      </x:c>
      <x:c r="C23" t="str">
        <x:f>TEXT(B23,"yyyy-mm")</x:f>
        <x:v>2026-06</x:v>
      </x:c>
      <x:c r="D23" t="str">
        <x:f>'Datos_Brutos'!C23</x:f>
        <x:v>Cliente 025</x:v>
      </x:c>
      <x:c r="E23" t="str">
        <x:f>'Datos_Brutos'!D23</x:f>
        <x:v>Planner</x:v>
      </x:c>
      <x:c r="F23" t="str">
        <x:f>'Datos_Brutos'!E23</x:f>
        <x:v>Papelería</x:v>
      </x:c>
      <x:c r="G23" t="str">
        <x:f>VLOOKUP('Datos_Brutos'!F23,Listas!$A$2:$B$13,2,FALSE)</x:f>
        <x:v>Metropolitana</x:v>
      </x:c>
      <x:c r="H23" t="str">
        <x:f>VLOOKUP('Datos_Brutos'!G23,Listas!$D$2:$E$10,2,FALSE)</x:f>
        <x:v>Web</x:v>
      </x:c>
      <x:c r="I23" t="n">
        <x:f>'Datos_Brutos'!H23</x:f>
        <x:v>4</x:v>
      </x:c>
      <x:c r="J23" s="12" t="n">
        <x:f>'Datos_Brutos'!I23</x:f>
        <x:v>12990</x:v>
      </x:c>
      <x:c r="K23" s="12" t="n">
        <x:f>'Datos_Brutos'!J23</x:f>
        <x:v>4800</x:v>
      </x:c>
      <x:c r="L23" s="14" t="n">
        <x:f>'Datos_Brutos'!K23</x:f>
        <x:v>0</x:v>
      </x:c>
      <x:c r="M23" t="str">
        <x:f>VLOOKUP('Datos_Brutos'!L23,Listas!$G$2:$H$10,2,FALSE)</x:f>
        <x:v>Completado</x:v>
      </x:c>
      <x:c r="N23" s="12" t="n">
        <x:f>I23*J23</x:f>
        <x:v>51960</x:v>
      </x:c>
      <x:c r="O23" s="12" t="n">
        <x:f>IF(M23="Cancelado",0,N23*(1-L23))</x:f>
        <x:v>51960</x:v>
      </x:c>
      <x:c r="P23" s="12" t="n">
        <x:f>IF(M23="Cancelado",0,I23*K23)</x:f>
        <x:v>19200</x:v>
      </x:c>
      <x:c r="Q23" s="12" t="n">
        <x:f>O23-P23</x:f>
        <x:v>32760</x:v>
      </x:c>
      <x:c r="R23" s="26" t="n">
        <x:f>IF(O23=0,0,Q23/O23)</x:f>
        <x:v>0.6304849884526559</x:v>
      </x:c>
    </x:row>
    <x:row r="24">
      <x:c r="A24" t="str">
        <x:f>'Datos_Brutos'!A24</x:f>
        <x:v>V-0023</x:v>
      </x:c>
      <x:c r="B24" s="10" t="n">
        <x:f>'Datos_Brutos'!B24</x:f>
        <x:v>46160</x:v>
      </x:c>
      <x:c r="C24" t="str">
        <x:f>TEXT(B24,"yyyy-mm")</x:f>
        <x:v>2026-05</x:v>
      </x:c>
      <x:c r="D24" t="str">
        <x:f>'Datos_Brutos'!C24</x:f>
        <x:v>Cliente 070</x:v>
      </x:c>
      <x:c r="E24" t="str">
        <x:f>'Datos_Brutos'!D24</x:f>
        <x:v>Polerón</x:v>
      </x:c>
      <x:c r="F24" t="str">
        <x:f>'Datos_Brutos'!E24</x:f>
        <x:v>Moda</x:v>
      </x:c>
      <x:c r="G24" t="str">
        <x:f>VLOOKUP('Datos_Brutos'!F24,Listas!$A$2:$B$13,2,FALSE)</x:f>
        <x:v>Valparaíso</x:v>
      </x:c>
      <x:c r="H24" t="str">
        <x:f>VLOOKUP('Datos_Brutos'!G24,Listas!$D$2:$E$10,2,FALSE)</x:f>
        <x:v>Web</x:v>
      </x:c>
      <x:c r="I24" t="n">
        <x:f>'Datos_Brutos'!H24</x:f>
        <x:v>1</x:v>
      </x:c>
      <x:c r="J24" s="12" t="n">
        <x:f>'Datos_Brutos'!I24</x:f>
        <x:v>29990</x:v>
      </x:c>
      <x:c r="K24" s="12" t="n">
        <x:f>'Datos_Brutos'!J24</x:f>
        <x:v>13500</x:v>
      </x:c>
      <x:c r="L24" s="14" t="n">
        <x:f>'Datos_Brutos'!K24</x:f>
        <x:v>0</x:v>
      </x:c>
      <x:c r="M24" t="str">
        <x:f>VLOOKUP('Datos_Brutos'!L24,Listas!$G$2:$H$10,2,FALSE)</x:f>
        <x:v>Completado</x:v>
      </x:c>
      <x:c r="N24" s="12" t="n">
        <x:f>I24*J24</x:f>
        <x:v>29990</x:v>
      </x:c>
      <x:c r="O24" s="12" t="n">
        <x:f>IF(M24="Cancelado",0,N24*(1-L24))</x:f>
        <x:v>29990</x:v>
      </x:c>
      <x:c r="P24" s="12" t="n">
        <x:f>IF(M24="Cancelado",0,I24*K24)</x:f>
        <x:v>13500</x:v>
      </x:c>
      <x:c r="Q24" s="12" t="n">
        <x:f>O24-P24</x:f>
        <x:v>16490</x:v>
      </x:c>
      <x:c r="R24" s="26" t="n">
        <x:f>IF(O24=0,0,Q24/O24)</x:f>
        <x:v>0.5498499499833278</x:v>
      </x:c>
    </x:row>
    <x:row r="25">
      <x:c r="A25" t="str">
        <x:f>'Datos_Brutos'!A25</x:f>
        <x:v>V-0024</x:v>
      </x:c>
      <x:c r="B25" s="10" t="n">
        <x:f>'Datos_Brutos'!B25</x:f>
        <x:v>46237</x:v>
      </x:c>
      <x:c r="C25" t="str">
        <x:f>TEXT(B25,"yyyy-mm")</x:f>
        <x:v>2026-08</x:v>
      </x:c>
      <x:c r="D25" t="str">
        <x:f>'Datos_Brutos'!C25</x:f>
        <x:v>Cliente 022</x:v>
      </x:c>
      <x:c r="E25" t="str">
        <x:f>'Datos_Brutos'!D25</x:f>
        <x:v>Auriculares</x:v>
      </x:c>
      <x:c r="F25" t="str">
        <x:f>'Datos_Brutos'!E25</x:f>
        <x:v>Tecnología</x:v>
      </x:c>
      <x:c r="G25" t="str">
        <x:f>VLOOKUP('Datos_Brutos'!F25,Listas!$A$2:$B$13,2,FALSE)</x:f>
        <x:v>Valparaíso</x:v>
      </x:c>
      <x:c r="H25" t="str">
        <x:f>VLOOKUP('Datos_Brutos'!G25,Listas!$D$2:$E$10,2,FALSE)</x:f>
        <x:v>Web</x:v>
      </x:c>
      <x:c r="I25" t="n">
        <x:f>'Datos_Brutos'!H25</x:f>
        <x:v>4</x:v>
      </x:c>
      <x:c r="J25" s="12" t="n">
        <x:f>'Datos_Brutos'!I25</x:f>
        <x:v>24990</x:v>
      </x:c>
      <x:c r="K25" s="12" t="n">
        <x:f>'Datos_Brutos'!J25</x:f>
        <x:v>14500</x:v>
      </x:c>
      <x:c r="L25" s="14" t="n">
        <x:f>'Datos_Brutos'!K25</x:f>
        <x:v>0.1</x:v>
      </x:c>
      <x:c r="M25" t="str">
        <x:f>VLOOKUP('Datos_Brutos'!L25,Listas!$G$2:$H$10,2,FALSE)</x:f>
        <x:v>Completado</x:v>
      </x:c>
      <x:c r="N25" s="12" t="n">
        <x:f>I25*J25</x:f>
        <x:v>99960</x:v>
      </x:c>
      <x:c r="O25" s="12" t="n">
        <x:f>IF(M25="Cancelado",0,N25*(1-L25))</x:f>
        <x:v>89964</x:v>
      </x:c>
      <x:c r="P25" s="12" t="n">
        <x:f>IF(M25="Cancelado",0,I25*K25)</x:f>
        <x:v>58000</x:v>
      </x:c>
      <x:c r="Q25" s="12" t="n">
        <x:f>O25-P25</x:f>
        <x:v>31964</x:v>
      </x:c>
      <x:c r="R25" s="26" t="n">
        <x:f>IF(O25=0,0,Q25/O25)</x:f>
        <x:v>0.35529767462540573</x:v>
      </x:c>
    </x:row>
    <x:row r="26">
      <x:c r="A26" t="str">
        <x:f>'Datos_Brutos'!A26</x:f>
        <x:v>V-0025</x:v>
      </x:c>
      <x:c r="B26" s="10" t="n">
        <x:f>'Datos_Brutos'!B26</x:f>
        <x:v>46120</x:v>
      </x:c>
      <x:c r="C26" t="str">
        <x:f>TEXT(B26,"yyyy-mm")</x:f>
        <x:v>2026-04</x:v>
      </x:c>
      <x:c r="D26" t="str">
        <x:f>'Datos_Brutos'!C26</x:f>
        <x:v>Cliente 063</x:v>
      </x:c>
      <x:c r="E26" t="str">
        <x:f>'Datos_Brutos'!D26</x:f>
        <x:v>Auriculares</x:v>
      </x:c>
      <x:c r="F26" t="str">
        <x:f>'Datos_Brutos'!E26</x:f>
        <x:v>Tecnología</x:v>
      </x:c>
      <x:c r="G26" t="str">
        <x:f>VLOOKUP('Datos_Brutos'!F26,Listas!$A$2:$B$13,2,FALSE)</x:f>
        <x:v>Biobío</x:v>
      </x:c>
      <x:c r="H26" t="str">
        <x:f>VLOOKUP('Datos_Brutos'!G26,Listas!$D$2:$E$10,2,FALSE)</x:f>
        <x:v>Web</x:v>
      </x:c>
      <x:c r="I26" t="n">
        <x:f>'Datos_Brutos'!H26</x:f>
        <x:v>4</x:v>
      </x:c>
      <x:c r="J26" s="12" t="n">
        <x:f>'Datos_Brutos'!I26</x:f>
        <x:v>24990</x:v>
      </x:c>
      <x:c r="K26" s="12" t="n">
        <x:f>'Datos_Brutos'!J26</x:f>
        <x:v>14500</x:v>
      </x:c>
      <x:c r="L26" s="14" t="n">
        <x:f>'Datos_Brutos'!K26</x:f>
        <x:v>0.05</x:v>
      </x:c>
      <x:c r="M26" t="str">
        <x:f>VLOOKUP('Datos_Brutos'!L26,Listas!$G$2:$H$10,2,FALSE)</x:f>
        <x:v>Cancelado</x:v>
      </x:c>
      <x:c r="N26" s="12" t="n">
        <x:f>I26*J26</x:f>
        <x:v>99960</x:v>
      </x:c>
      <x:c r="O26" s="12" t="n">
        <x:f>IF(M26="Cancelado",0,N26*(1-L26))</x:f>
        <x:v>0</x:v>
      </x:c>
      <x:c r="P26" s="12" t="n">
        <x:f>IF(M26="Cancelado",0,I26*K26)</x:f>
        <x:v>0</x:v>
      </x:c>
      <x:c r="Q26" s="12" t="n">
        <x:f>O26-P26</x:f>
        <x:v>0</x:v>
      </x:c>
      <x:c r="R26" s="26" t="n">
        <x:f>IF(O26=0,0,Q26/O26)</x:f>
        <x:v>0</x:v>
      </x:c>
    </x:row>
    <x:row r="27">
      <x:c r="A27" t="str">
        <x:f>'Datos_Brutos'!A27</x:f>
        <x:v>V-0026</x:v>
      </x:c>
      <x:c r="B27" s="10" t="n">
        <x:f>'Datos_Brutos'!B27</x:f>
        <x:v>46062</x:v>
      </x:c>
      <x:c r="C27" t="str">
        <x:f>TEXT(B27,"yyyy-mm")</x:f>
        <x:v>2026-02</x:v>
      </x:c>
      <x:c r="D27" t="str">
        <x:f>'Datos_Brutos'!C27</x:f>
        <x:v>Cliente 062</x:v>
      </x:c>
      <x:c r="E27" t="str">
        <x:f>'Datos_Brutos'!D27</x:f>
        <x:v>Lámpara</x:v>
      </x:c>
      <x:c r="F27" t="str">
        <x:f>'Datos_Brutos'!E27</x:f>
        <x:v>Hogar</x:v>
      </x:c>
      <x:c r="G27" t="str">
        <x:f>VLOOKUP('Datos_Brutos'!F27,Listas!$A$2:$B$13,2,FALSE)</x:f>
        <x:v>Metropolitana</x:v>
      </x:c>
      <x:c r="H27" t="str">
        <x:f>VLOOKUP('Datos_Brutos'!G27,Listas!$D$2:$E$10,2,FALSE)</x:f>
        <x:v>Instagram</x:v>
      </x:c>
      <x:c r="I27" t="n">
        <x:f>'Datos_Brutos'!H27</x:f>
        <x:v>1</x:v>
      </x:c>
      <x:c r="J27" s="12" t="n">
        <x:f>'Datos_Brutos'!I27</x:f>
        <x:v>21990</x:v>
      </x:c>
      <x:c r="K27" s="12" t="n">
        <x:f>'Datos_Brutos'!J27</x:f>
        <x:v>11000</x:v>
      </x:c>
      <x:c r="L27" s="14" t="n">
        <x:f>'Datos_Brutos'!K27</x:f>
        <x:v>0</x:v>
      </x:c>
      <x:c r="M27" t="str">
        <x:f>VLOOKUP('Datos_Brutos'!L27,Listas!$G$2:$H$10,2,FALSE)</x:f>
        <x:v>Completado</x:v>
      </x:c>
      <x:c r="N27" s="12" t="n">
        <x:f>I27*J27</x:f>
        <x:v>21990</x:v>
      </x:c>
      <x:c r="O27" s="12" t="n">
        <x:f>IF(M27="Cancelado",0,N27*(1-L27))</x:f>
        <x:v>21990</x:v>
      </x:c>
      <x:c r="P27" s="12" t="n">
        <x:f>IF(M27="Cancelado",0,I27*K27)</x:f>
        <x:v>11000</x:v>
      </x:c>
      <x:c r="Q27" s="12" t="n">
        <x:f>O27-P27</x:f>
        <x:v>10990</x:v>
      </x:c>
      <x:c r="R27" s="26" t="n">
        <x:f>IF(O27=0,0,Q27/O27)</x:f>
        <x:v>0.49977262391996363</x:v>
      </x:c>
    </x:row>
    <x:row r="28">
      <x:c r="A28" t="str">
        <x:f>'Datos_Brutos'!A28</x:f>
        <x:v>V-0027</x:v>
      </x:c>
      <x:c r="B28" s="10" t="n">
        <x:f>'Datos_Brutos'!B28</x:f>
        <x:v>46151</x:v>
      </x:c>
      <x:c r="C28" t="str">
        <x:f>TEXT(B28,"yyyy-mm")</x:f>
        <x:v>2026-05</x:v>
      </x:c>
      <x:c r="D28" t="str">
        <x:f>'Datos_Brutos'!C28</x:f>
        <x:v>Cliente 073</x:v>
      </x:c>
      <x:c r="E28" t="str">
        <x:f>'Datos_Brutos'!D28</x:f>
        <x:v>Mochila</x:v>
      </x:c>
      <x:c r="F28" t="str">
        <x:f>'Datos_Brutos'!E28</x:f>
        <x:v>Moda</x:v>
      </x:c>
      <x:c r="G28" t="str">
        <x:f>VLOOKUP('Datos_Brutos'!F28,Listas!$A$2:$B$13,2,FALSE)</x:f>
        <x:v>Metropolitana</x:v>
      </x:c>
      <x:c r="H28" t="str">
        <x:f>VLOOKUP('Datos_Brutos'!G28,Listas!$D$2:$E$10,2,FALSE)</x:f>
        <x:v>Web</x:v>
      </x:c>
      <x:c r="I28" t="n">
        <x:f>'Datos_Brutos'!H28</x:f>
        <x:v>1</x:v>
      </x:c>
      <x:c r="J28" s="12" t="n">
        <x:f>'Datos_Brutos'!I28</x:f>
        <x:v>26990</x:v>
      </x:c>
      <x:c r="K28" s="12" t="n">
        <x:f>'Datos_Brutos'!J28</x:f>
        <x:v>12000</x:v>
      </x:c>
      <x:c r="L28" s="14" t="n">
        <x:f>'Datos_Brutos'!K28</x:f>
        <x:v>0</x:v>
      </x:c>
      <x:c r="M28" t="str">
        <x:f>VLOOKUP('Datos_Brutos'!L28,Listas!$G$2:$H$10,2,FALSE)</x:f>
        <x:v>Completado</x:v>
      </x:c>
      <x:c r="N28" s="12" t="n">
        <x:f>I28*J28</x:f>
        <x:v>26990</x:v>
      </x:c>
      <x:c r="O28" s="12" t="n">
        <x:f>IF(M28="Cancelado",0,N28*(1-L28))</x:f>
        <x:v>26990</x:v>
      </x:c>
      <x:c r="P28" s="12" t="n">
        <x:f>IF(M28="Cancelado",0,I28*K28)</x:f>
        <x:v>12000</x:v>
      </x:c>
      <x:c r="Q28" s="12" t="n">
        <x:f>O28-P28</x:f>
        <x:v>14990</x:v>
      </x:c>
      <x:c r="R28" s="26" t="n">
        <x:f>IF(O28=0,0,Q28/O28)</x:f>
        <x:v>0.555390885513153</x:v>
      </x:c>
    </x:row>
    <x:row r="29">
      <x:c r="A29" t="str">
        <x:f>'Datos_Brutos'!A29</x:f>
        <x:v>V-0028</x:v>
      </x:c>
      <x:c r="B29" s="10" t="n">
        <x:f>'Datos_Brutos'!B29</x:f>
        <x:v>46086</x:v>
      </x:c>
      <x:c r="C29" t="str">
        <x:f>TEXT(B29,"yyyy-mm")</x:f>
        <x:v>2026-03</x:v>
      </x:c>
      <x:c r="D29" t="str">
        <x:f>'Datos_Brutos'!C29</x:f>
        <x:v>Cliente 041</x:v>
      </x:c>
      <x:c r="E29" t="str">
        <x:f>'Datos_Brutos'!D29</x:f>
        <x:v>Cuaderno premium</x:v>
      </x:c>
      <x:c r="F29" t="str">
        <x:f>'Datos_Brutos'!E29</x:f>
        <x:v>Papelería</x:v>
      </x:c>
      <x:c r="G29" t="str">
        <x:f>VLOOKUP('Datos_Brutos'!F29,Listas!$A$2:$B$13,2,FALSE)</x:f>
        <x:v>Metropolitana</x:v>
      </x:c>
      <x:c r="H29" t="str">
        <x:f>VLOOKUP('Datos_Brutos'!G29,Listas!$D$2:$E$10,2,FALSE)</x:f>
        <x:v>Instagram</x:v>
      </x:c>
      <x:c r="I29" t="n">
        <x:f>'Datos_Brutos'!H29</x:f>
        <x:v>2</x:v>
      </x:c>
      <x:c r="J29" s="12" t="n">
        <x:f>'Datos_Brutos'!I29</x:f>
        <x:v>9990</x:v>
      </x:c>
      <x:c r="K29" s="12" t="n">
        <x:f>'Datos_Brutos'!J29</x:f>
        <x:v>3900</x:v>
      </x:c>
      <x:c r="L29" s="14" t="n">
        <x:f>'Datos_Brutos'!K29</x:f>
        <x:v>0</x:v>
      </x:c>
      <x:c r="M29" t="str">
        <x:f>VLOOKUP('Datos_Brutos'!L29,Listas!$G$2:$H$10,2,FALSE)</x:f>
        <x:v>Completado</x:v>
      </x:c>
      <x:c r="N29" s="12" t="n">
        <x:f>I29*J29</x:f>
        <x:v>19980</x:v>
      </x:c>
      <x:c r="O29" s="12" t="n">
        <x:f>IF(M29="Cancelado",0,N29*(1-L29))</x:f>
        <x:v>19980</x:v>
      </x:c>
      <x:c r="P29" s="12" t="n">
        <x:f>IF(M29="Cancelado",0,I29*K29)</x:f>
        <x:v>7800</x:v>
      </x:c>
      <x:c r="Q29" s="12" t="n">
        <x:f>O29-P29</x:f>
        <x:v>12180</x:v>
      </x:c>
      <x:c r="R29" s="26" t="n">
        <x:f>IF(O29=0,0,Q29/O29)</x:f>
        <x:v>0.6096096096096096</x:v>
      </x:c>
    </x:row>
    <x:row r="30">
      <x:c r="A30" t="str">
        <x:f>'Datos_Brutos'!A30</x:f>
        <x:v>V-0029</x:v>
      </x:c>
      <x:c r="B30" s="10" t="n">
        <x:f>'Datos_Brutos'!B30</x:f>
        <x:v>46084</x:v>
      </x:c>
      <x:c r="C30" t="str">
        <x:f>TEXT(B30,"yyyy-mm")</x:f>
        <x:v>2026-03</x:v>
      </x:c>
      <x:c r="D30" t="str">
        <x:f>'Datos_Brutos'!C30</x:f>
        <x:v>Cliente 013</x:v>
      </x:c>
      <x:c r="E30" t="str">
        <x:f>'Datos_Brutos'!D30</x:f>
        <x:v>Organizador</x:v>
      </x:c>
      <x:c r="F30" t="str">
        <x:f>'Datos_Brutos'!E30</x:f>
        <x:v>Hogar</x:v>
      </x:c>
      <x:c r="G30" t="str">
        <x:f>VLOOKUP('Datos_Brutos'!F30,Listas!$A$2:$B$13,2,FALSE)</x:f>
        <x:v>Biobío</x:v>
      </x:c>
      <x:c r="H30" t="str">
        <x:f>VLOOKUP('Datos_Brutos'!G30,Listas!$D$2:$E$10,2,FALSE)</x:f>
        <x:v>Web</x:v>
      </x:c>
      <x:c r="I30" t="n">
        <x:f>'Datos_Brutos'!H30</x:f>
        <x:v>1</x:v>
      </x:c>
      <x:c r="J30" s="12" t="n">
        <x:f>'Datos_Brutos'!I30</x:f>
        <x:v>14990</x:v>
      </x:c>
      <x:c r="K30" s="12" t="n">
        <x:f>'Datos_Brutos'!J30</x:f>
        <x:v>7200</x:v>
      </x:c>
      <x:c r="L30" s="14" t="n">
        <x:f>'Datos_Brutos'!K30</x:f>
        <x:v>0.15</x:v>
      </x:c>
      <x:c r="M30" t="str">
        <x:f>VLOOKUP('Datos_Brutos'!L30,Listas!$G$2:$H$10,2,FALSE)</x:f>
        <x:v>Completado</x:v>
      </x:c>
      <x:c r="N30" s="12" t="n">
        <x:f>I30*J30</x:f>
        <x:v>14990</x:v>
      </x:c>
      <x:c r="O30" s="12" t="n">
        <x:f>IF(M30="Cancelado",0,N30*(1-L30))</x:f>
        <x:v>12741.5</x:v>
      </x:c>
      <x:c r="P30" s="12" t="n">
        <x:f>IF(M30="Cancelado",0,I30*K30)</x:f>
        <x:v>7200</x:v>
      </x:c>
      <x:c r="Q30" s="12" t="n">
        <x:f>O30-P30</x:f>
        <x:v>5541.5</x:v>
      </x:c>
      <x:c r="R30" s="26" t="n">
        <x:f>IF(O30=0,0,Q30/O30)</x:f>
        <x:v>0.4349173959109995</x:v>
      </x:c>
    </x:row>
    <x:row r="31">
      <x:c r="A31" t="str">
        <x:f>'Datos_Brutos'!A31</x:f>
        <x:v>V-0030</x:v>
      </x:c>
      <x:c r="B31" s="10" t="n">
        <x:f>'Datos_Brutos'!B31</x:f>
        <x:v>46041</x:v>
      </x:c>
      <x:c r="C31" t="str">
        <x:f>TEXT(B31,"yyyy-mm")</x:f>
        <x:v>2026-01</x:v>
      </x:c>
      <x:c r="D31" t="str">
        <x:f>'Datos_Brutos'!C31</x:f>
        <x:v>Cliente 057</x:v>
      </x:c>
      <x:c r="E31" t="str">
        <x:f>'Datos_Brutos'!D31</x:f>
        <x:v>Mochila</x:v>
      </x:c>
      <x:c r="F31" t="str">
        <x:f>'Datos_Brutos'!E31</x:f>
        <x:v>Moda</x:v>
      </x:c>
      <x:c r="G31" t="str">
        <x:f>VLOOKUP('Datos_Brutos'!F31,Listas!$A$2:$B$13,2,FALSE)</x:f>
        <x:v>Biobío</x:v>
      </x:c>
      <x:c r="H31" t="str">
        <x:f>VLOOKUP('Datos_Brutos'!G31,Listas!$D$2:$E$10,2,FALSE)</x:f>
        <x:v>Marketplace</x:v>
      </x:c>
      <x:c r="I31" t="n">
        <x:f>'Datos_Brutos'!H31</x:f>
        <x:v>1</x:v>
      </x:c>
      <x:c r="J31" s="12" t="n">
        <x:f>'Datos_Brutos'!I31</x:f>
        <x:v>26990</x:v>
      </x:c>
      <x:c r="K31" s="12" t="n">
        <x:f>'Datos_Brutos'!J31</x:f>
        <x:v>12000</x:v>
      </x:c>
      <x:c r="L31" s="14" t="n">
        <x:f>'Datos_Brutos'!K31</x:f>
        <x:v>0</x:v>
      </x:c>
      <x:c r="M31" t="str">
        <x:f>VLOOKUP('Datos_Brutos'!L31,Listas!$G$2:$H$10,2,FALSE)</x:f>
        <x:v>Pendiente</x:v>
      </x:c>
      <x:c r="N31" s="12" t="n">
        <x:f>I31*J31</x:f>
        <x:v>26990</x:v>
      </x:c>
      <x:c r="O31" s="12" t="n">
        <x:f>IF(M31="Cancelado",0,N31*(1-L31))</x:f>
        <x:v>26990</x:v>
      </x:c>
      <x:c r="P31" s="12" t="n">
        <x:f>IF(M31="Cancelado",0,I31*K31)</x:f>
        <x:v>12000</x:v>
      </x:c>
      <x:c r="Q31" s="12" t="n">
        <x:f>O31-P31</x:f>
        <x:v>14990</x:v>
      </x:c>
      <x:c r="R31" s="26" t="n">
        <x:f>IF(O31=0,0,Q31/O31)</x:f>
        <x:v>0.555390885513153</x:v>
      </x:c>
    </x:row>
    <x:row r="32">
      <x:c r="A32" t="str">
        <x:f>'Datos_Brutos'!A32</x:f>
        <x:v>V-0031</x:v>
      </x:c>
      <x:c r="B32" s="10" t="n">
        <x:f>'Datos_Brutos'!B32</x:f>
        <x:v>46236</x:v>
      </x:c>
      <x:c r="C32" t="str">
        <x:f>TEXT(B32,"yyyy-mm")</x:f>
        <x:v>2026-08</x:v>
      </x:c>
      <x:c r="D32" t="str">
        <x:f>'Datos_Brutos'!C32</x:f>
        <x:v>Cliente 018</x:v>
      </x:c>
      <x:c r="E32" t="str">
        <x:f>'Datos_Brutos'!D32</x:f>
        <x:v>Mochila</x:v>
      </x:c>
      <x:c r="F32" t="str">
        <x:f>'Datos_Brutos'!E32</x:f>
        <x:v>Moda</x:v>
      </x:c>
      <x:c r="G32" t="str">
        <x:f>VLOOKUP('Datos_Brutos'!F32,Listas!$A$2:$B$13,2,FALSE)</x:f>
        <x:v>Metropolitana</x:v>
      </x:c>
      <x:c r="H32" t="str">
        <x:f>VLOOKUP('Datos_Brutos'!G32,Listas!$D$2:$E$10,2,FALSE)</x:f>
        <x:v>Marketplace</x:v>
      </x:c>
      <x:c r="I32" t="n">
        <x:f>'Datos_Brutos'!H32</x:f>
        <x:v>2</x:v>
      </x:c>
      <x:c r="J32" s="12" t="n">
        <x:f>'Datos_Brutos'!I32</x:f>
        <x:v>26990</x:v>
      </x:c>
      <x:c r="K32" s="12" t="n">
        <x:f>'Datos_Brutos'!J32</x:f>
        <x:v>12000</x:v>
      </x:c>
      <x:c r="L32" s="14" t="n">
        <x:f>'Datos_Brutos'!K32</x:f>
        <x:v>0.1</x:v>
      </x:c>
      <x:c r="M32" t="str">
        <x:f>VLOOKUP('Datos_Brutos'!L32,Listas!$G$2:$H$10,2,FALSE)</x:f>
        <x:v>Cancelado</x:v>
      </x:c>
      <x:c r="N32" s="12" t="n">
        <x:f>I32*J32</x:f>
        <x:v>53980</x:v>
      </x:c>
      <x:c r="O32" s="12" t="n">
        <x:f>IF(M32="Cancelado",0,N32*(1-L32))</x:f>
        <x:v>0</x:v>
      </x:c>
      <x:c r="P32" s="12" t="n">
        <x:f>IF(M32="Cancelado",0,I32*K32)</x:f>
        <x:v>0</x:v>
      </x:c>
      <x:c r="Q32" s="12" t="n">
        <x:f>O32-P32</x:f>
        <x:v>0</x:v>
      </x:c>
      <x:c r="R32" s="26" t="n">
        <x:f>IF(O32=0,0,Q32/O32)</x:f>
        <x:v>0</x:v>
      </x:c>
    </x:row>
    <x:row r="33">
      <x:c r="A33" t="str">
        <x:f>'Datos_Brutos'!A33</x:f>
        <x:v>V-0032</x:v>
      </x:c>
      <x:c r="B33" s="10" t="n">
        <x:f>'Datos_Brutos'!B33</x:f>
        <x:v>46090</x:v>
      </x:c>
      <x:c r="C33" t="str">
        <x:f>TEXT(B33,"yyyy-mm")</x:f>
        <x:v>2026-03</x:v>
      </x:c>
      <x:c r="D33" t="str">
        <x:f>'Datos_Brutos'!C33</x:f>
        <x:v>Cliente 034</x:v>
      </x:c>
      <x:c r="E33" t="str">
        <x:f>'Datos_Brutos'!D33</x:f>
        <x:v>Teclado</x:v>
      </x:c>
      <x:c r="F33" t="str">
        <x:f>'Datos_Brutos'!E33</x:f>
        <x:v>Tecnología</x:v>
      </x:c>
      <x:c r="G33" t="str">
        <x:f>VLOOKUP('Datos_Brutos'!F33,Listas!$A$2:$B$13,2,FALSE)</x:f>
        <x:v>Valparaíso</x:v>
      </x:c>
      <x:c r="H33" t="str">
        <x:f>VLOOKUP('Datos_Brutos'!G33,Listas!$D$2:$E$10,2,FALSE)</x:f>
        <x:v>Web</x:v>
      </x:c>
      <x:c r="I33" t="n">
        <x:f>'Datos_Brutos'!H33</x:f>
        <x:v>3</x:v>
      </x:c>
      <x:c r="J33" s="12" t="n">
        <x:f>'Datos_Brutos'!I33</x:f>
        <x:v>32990</x:v>
      </x:c>
      <x:c r="K33" s="12" t="n">
        <x:f>'Datos_Brutos'!J33</x:f>
        <x:v>18500</x:v>
      </x:c>
      <x:c r="L33" s="14" t="n">
        <x:f>'Datos_Brutos'!K33</x:f>
        <x:v>0.05</x:v>
      </x:c>
      <x:c r="M33" t="str">
        <x:f>VLOOKUP('Datos_Brutos'!L33,Listas!$G$2:$H$10,2,FALSE)</x:f>
        <x:v>Completado</x:v>
      </x:c>
      <x:c r="N33" s="12" t="n">
        <x:f>I33*J33</x:f>
        <x:v>98970</x:v>
      </x:c>
      <x:c r="O33" s="12" t="n">
        <x:f>IF(M33="Cancelado",0,N33*(1-L33))</x:f>
        <x:v>94021.5</x:v>
      </x:c>
      <x:c r="P33" s="12" t="n">
        <x:f>IF(M33="Cancelado",0,I33*K33)</x:f>
        <x:v>55500</x:v>
      </x:c>
      <x:c r="Q33" s="12" t="n">
        <x:f>O33-P33</x:f>
        <x:v>38521.5</x:v>
      </x:c>
      <x:c r="R33" s="26" t="n">
        <x:f>IF(O33=0,0,Q33/O33)</x:f>
        <x:v>0.40970948134203344</x:v>
      </x:c>
    </x:row>
    <x:row r="34">
      <x:c r="A34" t="str">
        <x:f>'Datos_Brutos'!A34</x:f>
        <x:v>V-0033</x:v>
      </x:c>
      <x:c r="B34" s="10" t="n">
        <x:f>'Datos_Brutos'!B34</x:f>
        <x:v>46152</x:v>
      </x:c>
      <x:c r="C34" t="str">
        <x:f>TEXT(B34,"yyyy-mm")</x:f>
        <x:v>2026-05</x:v>
      </x:c>
      <x:c r="D34" t="str">
        <x:f>'Datos_Brutos'!C34</x:f>
        <x:v>Cliente 034</x:v>
      </x:c>
      <x:c r="E34" t="str">
        <x:f>'Datos_Brutos'!D34</x:f>
        <x:v>Polerón</x:v>
      </x:c>
      <x:c r="F34" t="str">
        <x:f>'Datos_Brutos'!E34</x:f>
        <x:v>Moda</x:v>
      </x:c>
      <x:c r="G34" t="str">
        <x:f>VLOOKUP('Datos_Brutos'!F34,Listas!$A$2:$B$13,2,FALSE)</x:f>
        <x:v>Metropolitana</x:v>
      </x:c>
      <x:c r="H34" t="str">
        <x:f>VLOOKUP('Datos_Brutos'!G34,Listas!$D$2:$E$10,2,FALSE)</x:f>
        <x:v>Instagram</x:v>
      </x:c>
      <x:c r="I34" t="n">
        <x:f>'Datos_Brutos'!H34</x:f>
        <x:v>1</x:v>
      </x:c>
      <x:c r="J34" s="12" t="n">
        <x:f>'Datos_Brutos'!I34</x:f>
        <x:v>29990</x:v>
      </x:c>
      <x:c r="K34" s="12" t="n">
        <x:f>'Datos_Brutos'!J34</x:f>
        <x:v>13500</x:v>
      </x:c>
      <x:c r="L34" s="14" t="n">
        <x:f>'Datos_Brutos'!K34</x:f>
        <x:v>0.05</x:v>
      </x:c>
      <x:c r="M34" t="str">
        <x:f>VLOOKUP('Datos_Brutos'!L34,Listas!$G$2:$H$10,2,FALSE)</x:f>
        <x:v>Completado</x:v>
      </x:c>
      <x:c r="N34" s="12" t="n">
        <x:f>I34*J34</x:f>
        <x:v>29990</x:v>
      </x:c>
      <x:c r="O34" s="12" t="n">
        <x:f>IF(M34="Cancelado",0,N34*(1-L34))</x:f>
        <x:v>28490.5</x:v>
      </x:c>
      <x:c r="P34" s="12" t="n">
        <x:f>IF(M34="Cancelado",0,I34*K34)</x:f>
        <x:v>13500</x:v>
      </x:c>
      <x:c r="Q34" s="12" t="n">
        <x:f>O34-P34</x:f>
        <x:v>14990.5</x:v>
      </x:c>
      <x:c r="R34" s="26" t="n">
        <x:f>IF(O34=0,0,Q34/O34)</x:f>
        <x:v>0.5261578420877134</x:v>
      </x:c>
    </x:row>
    <x:row r="35">
      <x:c r="A35" t="str">
        <x:f>'Datos_Brutos'!A35</x:f>
        <x:v>V-0034</x:v>
      </x:c>
      <x:c r="B35" s="10" t="n">
        <x:f>'Datos_Brutos'!B35</x:f>
        <x:v>46064</x:v>
      </x:c>
      <x:c r="C35" t="str">
        <x:f>TEXT(B35,"yyyy-mm")</x:f>
        <x:v>2026-02</x:v>
      </x:c>
      <x:c r="D35" t="str">
        <x:f>'Datos_Brutos'!C35</x:f>
        <x:v>Cliente 070</x:v>
      </x:c>
      <x:c r="E35" t="str">
        <x:f>'Datos_Brutos'!D35</x:f>
        <x:v>Set de lápices</x:v>
      </x:c>
      <x:c r="F35" t="str">
        <x:f>'Datos_Brutos'!E35</x:f>
        <x:v>Papelería</x:v>
      </x:c>
      <x:c r="G35" t="str">
        <x:f>VLOOKUP('Datos_Brutos'!F35,Listas!$A$2:$B$13,2,FALSE)</x:f>
        <x:v>Maule</x:v>
      </x:c>
      <x:c r="H35" t="str">
        <x:f>VLOOKUP('Datos_Brutos'!G35,Listas!$D$2:$E$10,2,FALSE)</x:f>
        <x:v>Web</x:v>
      </x:c>
      <x:c r="I35" t="n">
        <x:f>'Datos_Brutos'!H35</x:f>
        <x:v>1</x:v>
      </x:c>
      <x:c r="J35" s="12" t="n">
        <x:f>'Datos_Brutos'!I35</x:f>
        <x:v>7990</x:v>
      </x:c>
      <x:c r="K35" s="12" t="n">
        <x:f>'Datos_Brutos'!J35</x:f>
        <x:v>2600</x:v>
      </x:c>
      <x:c r="L35" s="14" t="n">
        <x:f>'Datos_Brutos'!K35</x:f>
        <x:v>0.1</x:v>
      </x:c>
      <x:c r="M35" t="str">
        <x:f>VLOOKUP('Datos_Brutos'!L35,Listas!$G$2:$H$10,2,FALSE)</x:f>
        <x:v>Cancelado</x:v>
      </x:c>
      <x:c r="N35" s="12" t="n">
        <x:f>I35*J35</x:f>
        <x:v>7990</x:v>
      </x:c>
      <x:c r="O35" s="12" t="n">
        <x:f>IF(M35="Cancelado",0,N35*(1-L35))</x:f>
        <x:v>0</x:v>
      </x:c>
      <x:c r="P35" s="12" t="n">
        <x:f>IF(M35="Cancelado",0,I35*K35)</x:f>
        <x:v>0</x:v>
      </x:c>
      <x:c r="Q35" s="12" t="n">
        <x:f>O35-P35</x:f>
        <x:v>0</x:v>
      </x:c>
      <x:c r="R35" s="26" t="n">
        <x:f>IF(O35=0,0,Q35/O35)</x:f>
        <x:v>0</x:v>
      </x:c>
    </x:row>
    <x:row r="36">
      <x:c r="A36" t="str">
        <x:f>'Datos_Brutos'!A36</x:f>
        <x:v>V-0035</x:v>
      </x:c>
      <x:c r="B36" s="10" t="n">
        <x:f>'Datos_Brutos'!B36</x:f>
        <x:v>46032</x:v>
      </x:c>
      <x:c r="C36" t="str">
        <x:f>TEXT(B36,"yyyy-mm")</x:f>
        <x:v>2026-01</x:v>
      </x:c>
      <x:c r="D36" t="str">
        <x:f>'Datos_Brutos'!C36</x:f>
        <x:v>Cliente 027</x:v>
      </x:c>
      <x:c r="E36" t="str">
        <x:f>'Datos_Brutos'!D36</x:f>
        <x:v>Botella térmica</x:v>
      </x:c>
      <x:c r="F36" t="str">
        <x:f>'Datos_Brutos'!E36</x:f>
        <x:v>Hogar</x:v>
      </x:c>
      <x:c r="G36" t="str">
        <x:f>VLOOKUP('Datos_Brutos'!F36,Listas!$A$2:$B$13,2,FALSE)</x:f>
        <x:v>Valparaíso</x:v>
      </x:c>
      <x:c r="H36" t="str">
        <x:f>VLOOKUP('Datos_Brutos'!G36,Listas!$D$2:$E$10,2,FALSE)</x:f>
        <x:v>Web</x:v>
      </x:c>
      <x:c r="I36" t="n">
        <x:f>'Datos_Brutos'!H36</x:f>
        <x:v>2</x:v>
      </x:c>
      <x:c r="J36" s="12" t="n">
        <x:f>'Datos_Brutos'!I36</x:f>
        <x:v>17990</x:v>
      </x:c>
      <x:c r="K36" s="12" t="n">
        <x:f>'Datos_Brutos'!J36</x:f>
        <x:v>8300</x:v>
      </x:c>
      <x:c r="L36" s="14" t="n">
        <x:f>'Datos_Brutos'!K36</x:f>
        <x:v>0.1</x:v>
      </x:c>
      <x:c r="M36" t="str">
        <x:f>VLOOKUP('Datos_Brutos'!L36,Listas!$G$2:$H$10,2,FALSE)</x:f>
        <x:v>Completado</x:v>
      </x:c>
      <x:c r="N36" s="12" t="n">
        <x:f>I36*J36</x:f>
        <x:v>35980</x:v>
      </x:c>
      <x:c r="O36" s="12" t="n">
        <x:f>IF(M36="Cancelado",0,N36*(1-L36))</x:f>
        <x:v>32382</x:v>
      </x:c>
      <x:c r="P36" s="12" t="n">
        <x:f>IF(M36="Cancelado",0,I36*K36)</x:f>
        <x:v>16600</x:v>
      </x:c>
      <x:c r="Q36" s="12" t="n">
        <x:f>O36-P36</x:f>
        <x:v>15782</x:v>
      </x:c>
      <x:c r="R36" s="26" t="n">
        <x:f>IF(O36=0,0,Q36/O36)</x:f>
        <x:v>0.4873695262800321</x:v>
      </x:c>
    </x:row>
    <x:row r="37">
      <x:c r="A37" t="str">
        <x:f>'Datos_Brutos'!A37</x:f>
        <x:v>V-0036</x:v>
      </x:c>
      <x:c r="B37" s="10" t="n">
        <x:f>'Datos_Brutos'!B37</x:f>
        <x:v>46197</x:v>
      </x:c>
      <x:c r="C37" t="str">
        <x:f>TEXT(B37,"yyyy-mm")</x:f>
        <x:v>2026-06</x:v>
      </x:c>
      <x:c r="D37" t="str">
        <x:f>'Datos_Brutos'!C37</x:f>
        <x:v>Cliente 031</x:v>
      </x:c>
      <x:c r="E37" t="str">
        <x:f>'Datos_Brutos'!D37</x:f>
        <x:v>Lámpara</x:v>
      </x:c>
      <x:c r="F37" t="str">
        <x:f>'Datos_Brutos'!E37</x:f>
        <x:v>Hogar</x:v>
      </x:c>
      <x:c r="G37" t="str">
        <x:f>VLOOKUP('Datos_Brutos'!F37,Listas!$A$2:$B$13,2,FALSE)</x:f>
        <x:v>Biobío</x:v>
      </x:c>
      <x:c r="H37" t="str">
        <x:f>VLOOKUP('Datos_Brutos'!G37,Listas!$D$2:$E$10,2,FALSE)</x:f>
        <x:v>Marketplace</x:v>
      </x:c>
      <x:c r="I37" t="n">
        <x:f>'Datos_Brutos'!H37</x:f>
        <x:v>2</x:v>
      </x:c>
      <x:c r="J37" s="12" t="n">
        <x:f>'Datos_Brutos'!I37</x:f>
        <x:v>21990</x:v>
      </x:c>
      <x:c r="K37" s="12" t="n">
        <x:f>'Datos_Brutos'!J37</x:f>
        <x:v>11000</x:v>
      </x:c>
      <x:c r="L37" s="14" t="n">
        <x:f>'Datos_Brutos'!K37</x:f>
        <x:v>0</x:v>
      </x:c>
      <x:c r="M37" t="str">
        <x:f>VLOOKUP('Datos_Brutos'!L37,Listas!$G$2:$H$10,2,FALSE)</x:f>
        <x:v>Cancelado</x:v>
      </x:c>
      <x:c r="N37" s="12" t="n">
        <x:f>I37*J37</x:f>
        <x:v>43980</x:v>
      </x:c>
      <x:c r="O37" s="12" t="n">
        <x:f>IF(M37="Cancelado",0,N37*(1-L37))</x:f>
        <x:v>0</x:v>
      </x:c>
      <x:c r="P37" s="12" t="n">
        <x:f>IF(M37="Cancelado",0,I37*K37)</x:f>
        <x:v>0</x:v>
      </x:c>
      <x:c r="Q37" s="12" t="n">
        <x:f>O37-P37</x:f>
        <x:v>0</x:v>
      </x:c>
      <x:c r="R37" s="26" t="n">
        <x:f>IF(O37=0,0,Q37/O37)</x:f>
        <x:v>0</x:v>
      </x:c>
    </x:row>
    <x:row r="38">
      <x:c r="A38" t="str">
        <x:f>'Datos_Brutos'!A38</x:f>
        <x:v>V-0037</x:v>
      </x:c>
      <x:c r="B38" s="10" t="n">
        <x:f>'Datos_Brutos'!B38</x:f>
        <x:v>46244</x:v>
      </x:c>
      <x:c r="C38" t="str">
        <x:f>TEXT(B38,"yyyy-mm")</x:f>
        <x:v>2026-08</x:v>
      </x:c>
      <x:c r="D38" t="str">
        <x:f>'Datos_Brutos'!C38</x:f>
        <x:v>Cliente 032</x:v>
      </x:c>
      <x:c r="E38" t="str">
        <x:f>'Datos_Brutos'!D38</x:f>
        <x:v>Mouse</x:v>
      </x:c>
      <x:c r="F38" t="str">
        <x:f>'Datos_Brutos'!E38</x:f>
        <x:v>Tecnología</x:v>
      </x:c>
      <x:c r="G38" t="str">
        <x:f>VLOOKUP('Datos_Brutos'!F38,Listas!$A$2:$B$13,2,FALSE)</x:f>
        <x:v>Valparaíso</x:v>
      </x:c>
      <x:c r="H38" t="str">
        <x:f>VLOOKUP('Datos_Brutos'!G38,Listas!$D$2:$E$10,2,FALSE)</x:f>
        <x:v>Web</x:v>
      </x:c>
      <x:c r="I38" t="n">
        <x:f>'Datos_Brutos'!H38</x:f>
        <x:v>4</x:v>
      </x:c>
      <x:c r="J38" s="12" t="n">
        <x:f>'Datos_Brutos'!I38</x:f>
        <x:v>18990</x:v>
      </x:c>
      <x:c r="K38" s="12" t="n">
        <x:f>'Datos_Brutos'!J38</x:f>
        <x:v>9800</x:v>
      </x:c>
      <x:c r="L38" s="14" t="n">
        <x:f>'Datos_Brutos'!K38</x:f>
        <x:v>0.1</x:v>
      </x:c>
      <x:c r="M38" t="str">
        <x:f>VLOOKUP('Datos_Brutos'!L38,Listas!$G$2:$H$10,2,FALSE)</x:f>
        <x:v>Cancelado</x:v>
      </x:c>
      <x:c r="N38" s="12" t="n">
        <x:f>I38*J38</x:f>
        <x:v>75960</x:v>
      </x:c>
      <x:c r="O38" s="12" t="n">
        <x:f>IF(M38="Cancelado",0,N38*(1-L38))</x:f>
        <x:v>0</x:v>
      </x:c>
      <x:c r="P38" s="12" t="n">
        <x:f>IF(M38="Cancelado",0,I38*K38)</x:f>
        <x:v>0</x:v>
      </x:c>
      <x:c r="Q38" s="12" t="n">
        <x:f>O38-P38</x:f>
        <x:v>0</x:v>
      </x:c>
      <x:c r="R38" s="26" t="n">
        <x:f>IF(O38=0,0,Q38/O38)</x:f>
        <x:v>0</x:v>
      </x:c>
    </x:row>
    <x:row r="39">
      <x:c r="A39" t="str">
        <x:f>'Datos_Brutos'!A39</x:f>
        <x:v>V-0038</x:v>
      </x:c>
      <x:c r="B39" s="10" t="n">
        <x:f>'Datos_Brutos'!B39</x:f>
        <x:v>46091</x:v>
      </x:c>
      <x:c r="C39" t="str">
        <x:f>TEXT(B39,"yyyy-mm")</x:f>
        <x:v>2026-03</x:v>
      </x:c>
      <x:c r="D39" t="str">
        <x:f>'Datos_Brutos'!C39</x:f>
        <x:v>Cliente 030</x:v>
      </x:c>
      <x:c r="E39" t="str">
        <x:f>'Datos_Brutos'!D39</x:f>
        <x:v>Mouse</x:v>
      </x:c>
      <x:c r="F39" t="str">
        <x:f>'Datos_Brutos'!E39</x:f>
        <x:v>Tecnología</x:v>
      </x:c>
      <x:c r="G39" t="str">
        <x:f>VLOOKUP('Datos_Brutos'!F39,Listas!$A$2:$B$13,2,FALSE)</x:f>
        <x:v>Metropolitana</x:v>
      </x:c>
      <x:c r="H39" t="str">
        <x:f>VLOOKUP('Datos_Brutos'!G39,Listas!$D$2:$E$10,2,FALSE)</x:f>
        <x:v>Marketplace</x:v>
      </x:c>
      <x:c r="I39" t="n">
        <x:f>'Datos_Brutos'!H39</x:f>
        <x:v>2</x:v>
      </x:c>
      <x:c r="J39" s="12" t="n">
        <x:f>'Datos_Brutos'!I39</x:f>
        <x:v>18990</x:v>
      </x:c>
      <x:c r="K39" s="12" t="n">
        <x:f>'Datos_Brutos'!J39</x:f>
        <x:v>9800</x:v>
      </x:c>
      <x:c r="L39" s="14" t="n">
        <x:f>'Datos_Brutos'!K39</x:f>
        <x:v>0</x:v>
      </x:c>
      <x:c r="M39" t="str">
        <x:f>VLOOKUP('Datos_Brutos'!L39,Listas!$G$2:$H$10,2,FALSE)</x:f>
        <x:v>Completado</x:v>
      </x:c>
      <x:c r="N39" s="12" t="n">
        <x:f>I39*J39</x:f>
        <x:v>37980</x:v>
      </x:c>
      <x:c r="O39" s="12" t="n">
        <x:f>IF(M39="Cancelado",0,N39*(1-L39))</x:f>
        <x:v>37980</x:v>
      </x:c>
      <x:c r="P39" s="12" t="n">
        <x:f>IF(M39="Cancelado",0,I39*K39)</x:f>
        <x:v>19600</x:v>
      </x:c>
      <x:c r="Q39" s="12" t="n">
        <x:f>O39-P39</x:f>
        <x:v>18380</x:v>
      </x:c>
      <x:c r="R39" s="26" t="n">
        <x:f>IF(O39=0,0,Q39/O39)</x:f>
        <x:v>0.48393891521853605</x:v>
      </x:c>
    </x:row>
    <x:row r="40">
      <x:c r="A40" t="str">
        <x:f>'Datos_Brutos'!A40</x:f>
        <x:v>V-0039</x:v>
      </x:c>
      <x:c r="B40" s="10" t="n">
        <x:f>'Datos_Brutos'!B40</x:f>
        <x:v>46080</x:v>
      </x:c>
      <x:c r="C40" t="str">
        <x:f>TEXT(B40,"yyyy-mm")</x:f>
        <x:v>2026-02</x:v>
      </x:c>
      <x:c r="D40" t="str">
        <x:f>'Datos_Brutos'!C40</x:f>
        <x:v>Cliente 066</x:v>
      </x:c>
      <x:c r="E40" t="str">
        <x:f>'Datos_Brutos'!D40</x:f>
        <x:v>Auriculares</x:v>
      </x:c>
      <x:c r="F40" t="str">
        <x:f>'Datos_Brutos'!E40</x:f>
        <x:v>Tecnología</x:v>
      </x:c>
      <x:c r="G40" t="str">
        <x:f>VLOOKUP('Datos_Brutos'!F40,Listas!$A$2:$B$13,2,FALSE)</x:f>
        <x:v>Maule</x:v>
      </x:c>
      <x:c r="H40" t="str">
        <x:f>VLOOKUP('Datos_Brutos'!G40,Listas!$D$2:$E$10,2,FALSE)</x:f>
        <x:v>Web</x:v>
      </x:c>
      <x:c r="I40" t="n">
        <x:f>'Datos_Brutos'!H40</x:f>
        <x:v>2</x:v>
      </x:c>
      <x:c r="J40" s="12" t="n">
        <x:f>'Datos_Brutos'!I40</x:f>
        <x:v>24990</x:v>
      </x:c>
      <x:c r="K40" s="12" t="n">
        <x:f>'Datos_Brutos'!J40</x:f>
        <x:v>14500</x:v>
      </x:c>
      <x:c r="L40" s="14" t="n">
        <x:f>'Datos_Brutos'!K40</x:f>
        <x:v>0</x:v>
      </x:c>
      <x:c r="M40" t="str">
        <x:f>VLOOKUP('Datos_Brutos'!L40,Listas!$G$2:$H$10,2,FALSE)</x:f>
        <x:v>Cancelado</x:v>
      </x:c>
      <x:c r="N40" s="12" t="n">
        <x:f>I40*J40</x:f>
        <x:v>49980</x:v>
      </x:c>
      <x:c r="O40" s="12" t="n">
        <x:f>IF(M40="Cancelado",0,N40*(1-L40))</x:f>
        <x:v>0</x:v>
      </x:c>
      <x:c r="P40" s="12" t="n">
        <x:f>IF(M40="Cancelado",0,I40*K40)</x:f>
        <x:v>0</x:v>
      </x:c>
      <x:c r="Q40" s="12" t="n">
        <x:f>O40-P40</x:f>
        <x:v>0</x:v>
      </x:c>
      <x:c r="R40" s="26" t="n">
        <x:f>IF(O40=0,0,Q40/O40)</x:f>
        <x:v>0</x:v>
      </x:c>
    </x:row>
    <x:row r="41">
      <x:c r="A41" t="str">
        <x:f>'Datos_Brutos'!A41</x:f>
        <x:v>V-0040</x:v>
      </x:c>
      <x:c r="B41" s="10" t="n">
        <x:f>'Datos_Brutos'!B41</x:f>
        <x:v>46125</x:v>
      </x:c>
      <x:c r="C41" t="str">
        <x:f>TEXT(B41,"yyyy-mm")</x:f>
        <x:v>2026-04</x:v>
      </x:c>
      <x:c r="D41" t="str">
        <x:f>'Datos_Brutos'!C41</x:f>
        <x:v>Cliente 056</x:v>
      </x:c>
      <x:c r="E41" t="str">
        <x:f>'Datos_Brutos'!D41</x:f>
        <x:v>Planner</x:v>
      </x:c>
      <x:c r="F41" t="str">
        <x:f>'Datos_Brutos'!E41</x:f>
        <x:v>Papelería</x:v>
      </x:c>
      <x:c r="G41" t="str">
        <x:f>VLOOKUP('Datos_Brutos'!F41,Listas!$A$2:$B$13,2,FALSE)</x:f>
        <x:v>Biobío</x:v>
      </x:c>
      <x:c r="H41" t="str">
        <x:f>VLOOKUP('Datos_Brutos'!G41,Listas!$D$2:$E$10,2,FALSE)</x:f>
        <x:v>Web</x:v>
      </x:c>
      <x:c r="I41" t="n">
        <x:f>'Datos_Brutos'!H41</x:f>
        <x:v>4</x:v>
      </x:c>
      <x:c r="J41" s="12" t="n">
        <x:f>'Datos_Brutos'!I41</x:f>
        <x:v>12990</x:v>
      </x:c>
      <x:c r="K41" s="12" t="n">
        <x:f>'Datos_Brutos'!J41</x:f>
        <x:v>4800</x:v>
      </x:c>
      <x:c r="L41" s="14" t="n">
        <x:f>'Datos_Brutos'!K41</x:f>
        <x:v>0</x:v>
      </x:c>
      <x:c r="M41" t="str">
        <x:f>VLOOKUP('Datos_Brutos'!L41,Listas!$G$2:$H$10,2,FALSE)</x:f>
        <x:v>Completado</x:v>
      </x:c>
      <x:c r="N41" s="12" t="n">
        <x:f>I41*J41</x:f>
        <x:v>51960</x:v>
      </x:c>
      <x:c r="O41" s="12" t="n">
        <x:f>IF(M41="Cancelado",0,N41*(1-L41))</x:f>
        <x:v>51960</x:v>
      </x:c>
      <x:c r="P41" s="12" t="n">
        <x:f>IF(M41="Cancelado",0,I41*K41)</x:f>
        <x:v>19200</x:v>
      </x:c>
      <x:c r="Q41" s="12" t="n">
        <x:f>O41-P41</x:f>
        <x:v>32760</x:v>
      </x:c>
      <x:c r="R41" s="26" t="n">
        <x:f>IF(O41=0,0,Q41/O41)</x:f>
        <x:v>0.6304849884526559</x:v>
      </x:c>
    </x:row>
    <x:row r="42">
      <x:c r="A42" t="str">
        <x:f>'Datos_Brutos'!A42</x:f>
        <x:v>V-0041</x:v>
      </x:c>
      <x:c r="B42" s="10" t="n">
        <x:f>'Datos_Brutos'!B42</x:f>
        <x:v>46111</x:v>
      </x:c>
      <x:c r="C42" t="str">
        <x:f>TEXT(B42,"yyyy-mm")</x:f>
        <x:v>2026-03</x:v>
      </x:c>
      <x:c r="D42" t="str">
        <x:f>'Datos_Brutos'!C42</x:f>
        <x:v>Cliente 006</x:v>
      </x:c>
      <x:c r="E42" t="str">
        <x:f>'Datos_Brutos'!D42</x:f>
        <x:v>Set de lápices</x:v>
      </x:c>
      <x:c r="F42" t="str">
        <x:f>'Datos_Brutos'!E42</x:f>
        <x:v>Papelería</x:v>
      </x:c>
      <x:c r="G42" t="str">
        <x:f>VLOOKUP('Datos_Brutos'!F42,Listas!$A$2:$B$13,2,FALSE)</x:f>
        <x:v>Maule</x:v>
      </x:c>
      <x:c r="H42" t="str">
        <x:f>VLOOKUP('Datos_Brutos'!G42,Listas!$D$2:$E$10,2,FALSE)</x:f>
        <x:v>Marketplace</x:v>
      </x:c>
      <x:c r="I42" t="n">
        <x:f>'Datos_Brutos'!H42</x:f>
        <x:v>2</x:v>
      </x:c>
      <x:c r="J42" s="12" t="n">
        <x:f>'Datos_Brutos'!I42</x:f>
        <x:v>7990</x:v>
      </x:c>
      <x:c r="K42" s="12" t="n">
        <x:f>'Datos_Brutos'!J42</x:f>
        <x:v>2600</x:v>
      </x:c>
      <x:c r="L42" s="14" t="n">
        <x:f>'Datos_Brutos'!K42</x:f>
        <x:v>0</x:v>
      </x:c>
      <x:c r="M42" t="str">
        <x:f>VLOOKUP('Datos_Brutos'!L42,Listas!$G$2:$H$10,2,FALSE)</x:f>
        <x:v>Completado</x:v>
      </x:c>
      <x:c r="N42" s="12" t="n">
        <x:f>I42*J42</x:f>
        <x:v>15980</x:v>
      </x:c>
      <x:c r="O42" s="12" t="n">
        <x:f>IF(M42="Cancelado",0,N42*(1-L42))</x:f>
        <x:v>15980</x:v>
      </x:c>
      <x:c r="P42" s="12" t="n">
        <x:f>IF(M42="Cancelado",0,I42*K42)</x:f>
        <x:v>5200</x:v>
      </x:c>
      <x:c r="Q42" s="12" t="n">
        <x:f>O42-P42</x:f>
        <x:v>10780</x:v>
      </x:c>
      <x:c r="R42" s="26" t="n">
        <x:f>IF(O42=0,0,Q42/O42)</x:f>
        <x:v>0.6745932415519399</x:v>
      </x:c>
    </x:row>
    <x:row r="43">
      <x:c r="A43" t="str">
        <x:f>'Datos_Brutos'!A43</x:f>
        <x:v>V-0042</x:v>
      </x:c>
      <x:c r="B43" s="10" t="n">
        <x:f>'Datos_Brutos'!B43</x:f>
        <x:v>46204</x:v>
      </x:c>
      <x:c r="C43" t="str">
        <x:f>TEXT(B43,"yyyy-mm")</x:f>
        <x:v>2026-07</x:v>
      </x:c>
      <x:c r="D43" t="str">
        <x:f>'Datos_Brutos'!C43</x:f>
        <x:v>Cliente 016</x:v>
      </x:c>
      <x:c r="E43" t="str">
        <x:f>'Datos_Brutos'!D43</x:f>
        <x:v>Polera básica</x:v>
      </x:c>
      <x:c r="F43" t="str">
        <x:f>'Datos_Brutos'!E43</x:f>
        <x:v>Moda</x:v>
      </x:c>
      <x:c r="G43" t="str">
        <x:f>VLOOKUP('Datos_Brutos'!F43,Listas!$A$2:$B$13,2,FALSE)</x:f>
        <x:v>Valparaíso</x:v>
      </x:c>
      <x:c r="H43" t="str">
        <x:f>VLOOKUP('Datos_Brutos'!G43,Listas!$D$2:$E$10,2,FALSE)</x:f>
        <x:v>Web</x:v>
      </x:c>
      <x:c r="I43" t="n">
        <x:f>'Datos_Brutos'!H43</x:f>
        <x:v>1</x:v>
      </x:c>
      <x:c r="J43" s="12" t="n">
        <x:f>'Datos_Brutos'!I43</x:f>
        <x:v>15990</x:v>
      </x:c>
      <x:c r="K43" s="12" t="n">
        <x:f>'Datos_Brutos'!J43</x:f>
        <x:v>6800</x:v>
      </x:c>
      <x:c r="L43" s="14" t="n">
        <x:f>'Datos_Brutos'!K43</x:f>
        <x:v>0</x:v>
      </x:c>
      <x:c r="M43" t="str">
        <x:f>VLOOKUP('Datos_Brutos'!L43,Listas!$G$2:$H$10,2,FALSE)</x:f>
        <x:v>Cancelado</x:v>
      </x:c>
      <x:c r="N43" s="12" t="n">
        <x:f>I43*J43</x:f>
        <x:v>15990</x:v>
      </x:c>
      <x:c r="O43" s="12" t="n">
        <x:f>IF(M43="Cancelado",0,N43*(1-L43))</x:f>
        <x:v>0</x:v>
      </x:c>
      <x:c r="P43" s="12" t="n">
        <x:f>IF(M43="Cancelado",0,I43*K43)</x:f>
        <x:v>0</x:v>
      </x:c>
      <x:c r="Q43" s="12" t="n">
        <x:f>O43-P43</x:f>
        <x:v>0</x:v>
      </x:c>
      <x:c r="R43" s="26" t="n">
        <x:f>IF(O43=0,0,Q43/O43)</x:f>
        <x:v>0</x:v>
      </x:c>
    </x:row>
    <x:row r="44">
      <x:c r="A44" t="str">
        <x:f>'Datos_Brutos'!A44</x:f>
        <x:v>V-0043</x:v>
      </x:c>
      <x:c r="B44" s="10" t="n">
        <x:f>'Datos_Brutos'!B44</x:f>
        <x:v>46207</x:v>
      </x:c>
      <x:c r="C44" t="str">
        <x:f>TEXT(B44,"yyyy-mm")</x:f>
        <x:v>2026-07</x:v>
      </x:c>
      <x:c r="D44" t="str">
        <x:f>'Datos_Brutos'!C44</x:f>
        <x:v>Cliente 049</x:v>
      </x:c>
      <x:c r="E44" t="str">
        <x:f>'Datos_Brutos'!D44</x:f>
        <x:v>Organizador</x:v>
      </x:c>
      <x:c r="F44" t="str">
        <x:f>'Datos_Brutos'!E44</x:f>
        <x:v>Hogar</x:v>
      </x:c>
      <x:c r="G44" t="str">
        <x:f>VLOOKUP('Datos_Brutos'!F44,Listas!$A$2:$B$13,2,FALSE)</x:f>
        <x:v>Maule</x:v>
      </x:c>
      <x:c r="H44" t="str">
        <x:f>VLOOKUP('Datos_Brutos'!G44,Listas!$D$2:$E$10,2,FALSE)</x:f>
        <x:v>Web</x:v>
      </x:c>
      <x:c r="I44" t="n">
        <x:f>'Datos_Brutos'!H44</x:f>
        <x:v>1</x:v>
      </x:c>
      <x:c r="J44" s="12" t="n">
        <x:f>'Datos_Brutos'!I44</x:f>
        <x:v>14990</x:v>
      </x:c>
      <x:c r="K44" s="12" t="n">
        <x:f>'Datos_Brutos'!J44</x:f>
        <x:v>7200</x:v>
      </x:c>
      <x:c r="L44" s="14" t="n">
        <x:f>'Datos_Brutos'!K44</x:f>
        <x:v>0</x:v>
      </x:c>
      <x:c r="M44" t="str">
        <x:f>VLOOKUP('Datos_Brutos'!L44,Listas!$G$2:$H$10,2,FALSE)</x:f>
        <x:v>Completado</x:v>
      </x:c>
      <x:c r="N44" s="12" t="n">
        <x:f>I44*J44</x:f>
        <x:v>14990</x:v>
      </x:c>
      <x:c r="O44" s="12" t="n">
        <x:f>IF(M44="Cancelado",0,N44*(1-L44))</x:f>
        <x:v>14990</x:v>
      </x:c>
      <x:c r="P44" s="12" t="n">
        <x:f>IF(M44="Cancelado",0,I44*K44)</x:f>
        <x:v>7200</x:v>
      </x:c>
      <x:c r="Q44" s="12" t="n">
        <x:f>O44-P44</x:f>
        <x:v>7790</x:v>
      </x:c>
      <x:c r="R44" s="26" t="n">
        <x:f>IF(O44=0,0,Q44/O44)</x:f>
        <x:v>0.5196797865243495</x:v>
      </x:c>
    </x:row>
    <x:row r="45">
      <x:c r="A45" t="str">
        <x:f>'Datos_Brutos'!A45</x:f>
        <x:v>V-0044</x:v>
      </x:c>
      <x:c r="B45" s="10" t="n">
        <x:f>'Datos_Brutos'!B45</x:f>
        <x:v>46196</x:v>
      </x:c>
      <x:c r="C45" t="str">
        <x:f>TEXT(B45,"yyyy-mm")</x:f>
        <x:v>2026-06</x:v>
      </x:c>
      <x:c r="D45" t="str">
        <x:f>'Datos_Brutos'!C45</x:f>
        <x:v>Cliente 075</x:v>
      </x:c>
      <x:c r="E45" t="str">
        <x:f>'Datos_Brutos'!D45</x:f>
        <x:v>Set de lápices</x:v>
      </x:c>
      <x:c r="F45" t="str">
        <x:f>'Datos_Brutos'!E45</x:f>
        <x:v>Papelería</x:v>
      </x:c>
      <x:c r="G45" t="str">
        <x:f>VLOOKUP('Datos_Brutos'!F45,Listas!$A$2:$B$13,2,FALSE)</x:f>
        <x:v>Biobío</x:v>
      </x:c>
      <x:c r="H45" t="str">
        <x:f>VLOOKUP('Datos_Brutos'!G45,Listas!$D$2:$E$10,2,FALSE)</x:f>
        <x:v>Web</x:v>
      </x:c>
      <x:c r="I45" t="n">
        <x:f>'Datos_Brutos'!H45</x:f>
        <x:v>3</x:v>
      </x:c>
      <x:c r="J45" s="12" t="n">
        <x:f>'Datos_Brutos'!I45</x:f>
        <x:v>7990</x:v>
      </x:c>
      <x:c r="K45" s="12" t="n">
        <x:f>'Datos_Brutos'!J45</x:f>
        <x:v>2600</x:v>
      </x:c>
      <x:c r="L45" s="14" t="n">
        <x:f>'Datos_Brutos'!K45</x:f>
        <x:v>0</x:v>
      </x:c>
      <x:c r="M45" t="str">
        <x:f>VLOOKUP('Datos_Brutos'!L45,Listas!$G$2:$H$10,2,FALSE)</x:f>
        <x:v>Completado</x:v>
      </x:c>
      <x:c r="N45" s="12" t="n">
        <x:f>I45*J45</x:f>
        <x:v>23970</x:v>
      </x:c>
      <x:c r="O45" s="12" t="n">
        <x:f>IF(M45="Cancelado",0,N45*(1-L45))</x:f>
        <x:v>23970</x:v>
      </x:c>
      <x:c r="P45" s="12" t="n">
        <x:f>IF(M45="Cancelado",0,I45*K45)</x:f>
        <x:v>7800</x:v>
      </x:c>
      <x:c r="Q45" s="12" t="n">
        <x:f>O45-P45</x:f>
        <x:v>16170</x:v>
      </x:c>
      <x:c r="R45" s="26" t="n">
        <x:f>IF(O45=0,0,Q45/O45)</x:f>
        <x:v>0.6745932415519399</x:v>
      </x:c>
    </x:row>
    <x:row r="46">
      <x:c r="A46" t="str">
        <x:f>'Datos_Brutos'!A46</x:f>
        <x:v>V-0045</x:v>
      </x:c>
      <x:c r="B46" s="10" t="n">
        <x:f>'Datos_Brutos'!B46</x:f>
        <x:v>46178</x:v>
      </x:c>
      <x:c r="C46" t="str">
        <x:f>TEXT(B46,"yyyy-mm")</x:f>
        <x:v>2026-06</x:v>
      </x:c>
      <x:c r="D46" t="str">
        <x:f>'Datos_Brutos'!C46</x:f>
        <x:v>Cliente 011</x:v>
      </x:c>
      <x:c r="E46" t="str">
        <x:f>'Datos_Brutos'!D46</x:f>
        <x:v>Planner</x:v>
      </x:c>
      <x:c r="F46" t="str">
        <x:f>'Datos_Brutos'!E46</x:f>
        <x:v>Papelería</x:v>
      </x:c>
      <x:c r="G46" t="str">
        <x:f>VLOOKUP('Datos_Brutos'!F46,Listas!$A$2:$B$13,2,FALSE)</x:f>
        <x:v>Maule</x:v>
      </x:c>
      <x:c r="H46" t="str">
        <x:f>VLOOKUP('Datos_Brutos'!G46,Listas!$D$2:$E$10,2,FALSE)</x:f>
        <x:v>Instagram</x:v>
      </x:c>
      <x:c r="I46" t="n">
        <x:f>'Datos_Brutos'!H46</x:f>
        <x:v>1</x:v>
      </x:c>
      <x:c r="J46" s="12" t="n">
        <x:f>'Datos_Brutos'!I46</x:f>
        <x:v>12990</x:v>
      </x:c>
      <x:c r="K46" s="12" t="n">
        <x:f>'Datos_Brutos'!J46</x:f>
        <x:v>4800</x:v>
      </x:c>
      <x:c r="L46" s="14" t="n">
        <x:f>'Datos_Brutos'!K46</x:f>
        <x:v>0</x:v>
      </x:c>
      <x:c r="M46" t="str">
        <x:f>VLOOKUP('Datos_Brutos'!L46,Listas!$G$2:$H$10,2,FALSE)</x:f>
        <x:v>Completado</x:v>
      </x:c>
      <x:c r="N46" s="12" t="n">
        <x:f>I46*J46</x:f>
        <x:v>12990</x:v>
      </x:c>
      <x:c r="O46" s="12" t="n">
        <x:f>IF(M46="Cancelado",0,N46*(1-L46))</x:f>
        <x:v>12990</x:v>
      </x:c>
      <x:c r="P46" s="12" t="n">
        <x:f>IF(M46="Cancelado",0,I46*K46)</x:f>
        <x:v>4800</x:v>
      </x:c>
      <x:c r="Q46" s="12" t="n">
        <x:f>O46-P46</x:f>
        <x:v>8190</x:v>
      </x:c>
      <x:c r="R46" s="26" t="n">
        <x:f>IF(O46=0,0,Q46/O46)</x:f>
        <x:v>0.6304849884526559</x:v>
      </x:c>
    </x:row>
    <x:row r="47">
      <x:c r="A47" t="str">
        <x:f>'Datos_Brutos'!A47</x:f>
        <x:v>V-0046</x:v>
      </x:c>
      <x:c r="B47" s="10" t="n">
        <x:f>'Datos_Brutos'!B47</x:f>
        <x:v>46095</x:v>
      </x:c>
      <x:c r="C47" t="str">
        <x:f>TEXT(B47,"yyyy-mm")</x:f>
        <x:v>2026-03</x:v>
      </x:c>
      <x:c r="D47" t="str">
        <x:f>'Datos_Brutos'!C47</x:f>
        <x:v>Cliente 019</x:v>
      </x:c>
      <x:c r="E47" t="str">
        <x:f>'Datos_Brutos'!D47</x:f>
        <x:v>Mochila</x:v>
      </x:c>
      <x:c r="F47" t="str">
        <x:f>'Datos_Brutos'!E47</x:f>
        <x:v>Moda</x:v>
      </x:c>
      <x:c r="G47" t="str">
        <x:f>VLOOKUP('Datos_Brutos'!F47,Listas!$A$2:$B$13,2,FALSE)</x:f>
        <x:v>Biobío</x:v>
      </x:c>
      <x:c r="H47" t="str">
        <x:f>VLOOKUP('Datos_Brutos'!G47,Listas!$D$2:$E$10,2,FALSE)</x:f>
        <x:v>Marketplace</x:v>
      </x:c>
      <x:c r="I47" t="n">
        <x:f>'Datos_Brutos'!H47</x:f>
        <x:v>2</x:v>
      </x:c>
      <x:c r="J47" s="12" t="n">
        <x:f>'Datos_Brutos'!I47</x:f>
        <x:v>26990</x:v>
      </x:c>
      <x:c r="K47" s="12" t="n">
        <x:f>'Datos_Brutos'!J47</x:f>
        <x:v>12000</x:v>
      </x:c>
      <x:c r="L47" s="14" t="n">
        <x:f>'Datos_Brutos'!K47</x:f>
        <x:v>0.1</x:v>
      </x:c>
      <x:c r="M47" t="str">
        <x:f>VLOOKUP('Datos_Brutos'!L47,Listas!$G$2:$H$10,2,FALSE)</x:f>
        <x:v>Completado</x:v>
      </x:c>
      <x:c r="N47" s="12" t="n">
        <x:f>I47*J47</x:f>
        <x:v>53980</x:v>
      </x:c>
      <x:c r="O47" s="12" t="n">
        <x:f>IF(M47="Cancelado",0,N47*(1-L47))</x:f>
        <x:v>48582</x:v>
      </x:c>
      <x:c r="P47" s="12" t="n">
        <x:f>IF(M47="Cancelado",0,I47*K47)</x:f>
        <x:v>24000</x:v>
      </x:c>
      <x:c r="Q47" s="12" t="n">
        <x:f>O47-P47</x:f>
        <x:v>24582</x:v>
      </x:c>
      <x:c r="R47" s="26" t="n">
        <x:f>IF(O47=0,0,Q47/O47)</x:f>
        <x:v>0.5059898727923923</x:v>
      </x:c>
    </x:row>
    <x:row r="48">
      <x:c r="A48" t="str">
        <x:f>'Datos_Brutos'!A48</x:f>
        <x:v>V-0047</x:v>
      </x:c>
      <x:c r="B48" s="10" t="n">
        <x:f>'Datos_Brutos'!B48</x:f>
        <x:v>46029</x:v>
      </x:c>
      <x:c r="C48" t="str">
        <x:f>TEXT(B48,"yyyy-mm")</x:f>
        <x:v>2026-01</x:v>
      </x:c>
      <x:c r="D48" t="str">
        <x:f>'Datos_Brutos'!C48</x:f>
        <x:v>Cliente 050</x:v>
      </x:c>
      <x:c r="E48" t="str">
        <x:f>'Datos_Brutos'!D48</x:f>
        <x:v>Auriculares</x:v>
      </x:c>
      <x:c r="F48" t="str">
        <x:f>'Datos_Brutos'!E48</x:f>
        <x:v>Tecnología</x:v>
      </x:c>
      <x:c r="G48" t="str">
        <x:f>VLOOKUP('Datos_Brutos'!F48,Listas!$A$2:$B$13,2,FALSE)</x:f>
        <x:v>Maule</x:v>
      </x:c>
      <x:c r="H48" t="str">
        <x:f>VLOOKUP('Datos_Brutos'!G48,Listas!$D$2:$E$10,2,FALSE)</x:f>
        <x:v>Marketplace</x:v>
      </x:c>
      <x:c r="I48" t="n">
        <x:f>'Datos_Brutos'!H48</x:f>
        <x:v>1</x:v>
      </x:c>
      <x:c r="J48" s="12" t="n">
        <x:f>'Datos_Brutos'!I48</x:f>
        <x:v>24990</x:v>
      </x:c>
      <x:c r="K48" s="12" t="n">
        <x:f>'Datos_Brutos'!J48</x:f>
        <x:v>14500</x:v>
      </x:c>
      <x:c r="L48" s="14" t="n">
        <x:f>'Datos_Brutos'!K48</x:f>
        <x:v>0</x:v>
      </x:c>
      <x:c r="M48" t="str">
        <x:f>VLOOKUP('Datos_Brutos'!L48,Listas!$G$2:$H$10,2,FALSE)</x:f>
        <x:v>Completado</x:v>
      </x:c>
      <x:c r="N48" s="12" t="n">
        <x:f>I48*J48</x:f>
        <x:v>24990</x:v>
      </x:c>
      <x:c r="O48" s="12" t="n">
        <x:f>IF(M48="Cancelado",0,N48*(1-L48))</x:f>
        <x:v>24990</x:v>
      </x:c>
      <x:c r="P48" s="12" t="n">
        <x:f>IF(M48="Cancelado",0,I48*K48)</x:f>
        <x:v>14500</x:v>
      </x:c>
      <x:c r="Q48" s="12" t="n">
        <x:f>O48-P48</x:f>
        <x:v>10490</x:v>
      </x:c>
      <x:c r="R48" s="26" t="n">
        <x:f>IF(O48=0,0,Q48/O48)</x:f>
        <x:v>0.41976790716286516</x:v>
      </x:c>
    </x:row>
    <x:row r="49">
      <x:c r="A49" t="str">
        <x:f>'Datos_Brutos'!A49</x:f>
        <x:v>V-0048</x:v>
      </x:c>
      <x:c r="B49" s="10" t="n">
        <x:f>'Datos_Brutos'!B49</x:f>
        <x:v>46149</x:v>
      </x:c>
      <x:c r="C49" t="str">
        <x:f>TEXT(B49,"yyyy-mm")</x:f>
        <x:v>2026-05</x:v>
      </x:c>
      <x:c r="D49" t="str">
        <x:f>'Datos_Brutos'!C49</x:f>
        <x:v>Cliente 007</x:v>
      </x:c>
      <x:c r="E49" t="str">
        <x:f>'Datos_Brutos'!D49</x:f>
        <x:v>Polera básica</x:v>
      </x:c>
      <x:c r="F49" t="str">
        <x:f>'Datos_Brutos'!E49</x:f>
        <x:v>Moda</x:v>
      </x:c>
      <x:c r="G49" t="str">
        <x:f>VLOOKUP('Datos_Brutos'!F49,Listas!$A$2:$B$13,2,FALSE)</x:f>
        <x:v>Metropolitana</x:v>
      </x:c>
      <x:c r="H49" t="str">
        <x:f>VLOOKUP('Datos_Brutos'!G49,Listas!$D$2:$E$10,2,FALSE)</x:f>
        <x:v>Instagram</x:v>
      </x:c>
      <x:c r="I49" t="n">
        <x:f>'Datos_Brutos'!H49</x:f>
        <x:v>1</x:v>
      </x:c>
      <x:c r="J49" s="12" t="n">
        <x:f>'Datos_Brutos'!I49</x:f>
        <x:v>15990</x:v>
      </x:c>
      <x:c r="K49" s="12" t="n">
        <x:f>'Datos_Brutos'!J49</x:f>
        <x:v>6800</x:v>
      </x:c>
      <x:c r="L49" s="14" t="n">
        <x:f>'Datos_Brutos'!K49</x:f>
        <x:v>0</x:v>
      </x:c>
      <x:c r="M49" t="str">
        <x:f>VLOOKUP('Datos_Brutos'!L49,Listas!$G$2:$H$10,2,FALSE)</x:f>
        <x:v>Completado</x:v>
      </x:c>
      <x:c r="N49" s="12" t="n">
        <x:f>I49*J49</x:f>
        <x:v>15990</x:v>
      </x:c>
      <x:c r="O49" s="12" t="n">
        <x:f>IF(M49="Cancelado",0,N49*(1-L49))</x:f>
        <x:v>15990</x:v>
      </x:c>
      <x:c r="P49" s="12" t="n">
        <x:f>IF(M49="Cancelado",0,I49*K49)</x:f>
        <x:v>6800</x:v>
      </x:c>
      <x:c r="Q49" s="12" t="n">
        <x:f>O49-P49</x:f>
        <x:v>9190</x:v>
      </x:c>
      <x:c r="R49" s="26" t="n">
        <x:f>IF(O49=0,0,Q49/O49)</x:f>
        <x:v>0.5747342088805504</x:v>
      </x:c>
    </x:row>
    <x:row r="50">
      <x:c r="A50" t="str">
        <x:f>'Datos_Brutos'!A50</x:f>
        <x:v>V-0049</x:v>
      </x:c>
      <x:c r="B50" s="10" t="n">
        <x:f>'Datos_Brutos'!B50</x:f>
        <x:v>46165</x:v>
      </x:c>
      <x:c r="C50" t="str">
        <x:f>TEXT(B50,"yyyy-mm")</x:f>
        <x:v>2026-05</x:v>
      </x:c>
      <x:c r="D50" t="str">
        <x:f>'Datos_Brutos'!C50</x:f>
        <x:v>Cliente 057</x:v>
      </x:c>
      <x:c r="E50" t="str">
        <x:f>'Datos_Brutos'!D50</x:f>
        <x:v>Lámpara</x:v>
      </x:c>
      <x:c r="F50" t="str">
        <x:f>'Datos_Brutos'!E50</x:f>
        <x:v>Hogar</x:v>
      </x:c>
      <x:c r="G50" t="str">
        <x:f>VLOOKUP('Datos_Brutos'!F50,Listas!$A$2:$B$13,2,FALSE)</x:f>
        <x:v>Metropolitana</x:v>
      </x:c>
      <x:c r="H50" t="str">
        <x:f>VLOOKUP('Datos_Brutos'!G50,Listas!$D$2:$E$10,2,FALSE)</x:f>
        <x:v>Web</x:v>
      </x:c>
      <x:c r="I50" t="n">
        <x:f>'Datos_Brutos'!H50</x:f>
        <x:v>3</x:v>
      </x:c>
      <x:c r="J50" s="12" t="n">
        <x:f>'Datos_Brutos'!I50</x:f>
        <x:v>21990</x:v>
      </x:c>
      <x:c r="K50" s="12" t="n">
        <x:f>'Datos_Brutos'!J50</x:f>
        <x:v>11000</x:v>
      </x:c>
      <x:c r="L50" s="14" t="n">
        <x:f>'Datos_Brutos'!K50</x:f>
        <x:v>0.05</x:v>
      </x:c>
      <x:c r="M50" t="str">
        <x:f>VLOOKUP('Datos_Brutos'!L50,Listas!$G$2:$H$10,2,FALSE)</x:f>
        <x:v>Completado</x:v>
      </x:c>
      <x:c r="N50" s="12" t="n">
        <x:f>I50*J50</x:f>
        <x:v>65970</x:v>
      </x:c>
      <x:c r="O50" s="12" t="n">
        <x:f>IF(M50="Cancelado",0,N50*(1-L50))</x:f>
        <x:v>62671.5</x:v>
      </x:c>
      <x:c r="P50" s="12" t="n">
        <x:f>IF(M50="Cancelado",0,I50*K50)</x:f>
        <x:v>33000</x:v>
      </x:c>
      <x:c r="Q50" s="12" t="n">
        <x:f>O50-P50</x:f>
        <x:v>29671.5</x:v>
      </x:c>
      <x:c r="R50" s="26" t="n">
        <x:f>IF(O50=0,0,Q50/O50)</x:f>
        <x:v>0.47344486728417223</x:v>
      </x:c>
    </x:row>
    <x:row r="51">
      <x:c r="A51" t="str">
        <x:f>'Datos_Brutos'!A51</x:f>
        <x:v>V-0050</x:v>
      </x:c>
      <x:c r="B51" s="10" t="n">
        <x:f>'Datos_Brutos'!B51</x:f>
        <x:v>46179</x:v>
      </x:c>
      <x:c r="C51" t="str">
        <x:f>TEXT(B51,"yyyy-mm")</x:f>
        <x:v>2026-06</x:v>
      </x:c>
      <x:c r="D51" t="str">
        <x:f>'Datos_Brutos'!C51</x:f>
        <x:v>Cliente 032</x:v>
      </x:c>
      <x:c r="E51" t="str">
        <x:f>'Datos_Brutos'!D51</x:f>
        <x:v>Set de lápices</x:v>
      </x:c>
      <x:c r="F51" t="str">
        <x:f>'Datos_Brutos'!E51</x:f>
        <x:v>Papelería</x:v>
      </x:c>
      <x:c r="G51" t="str">
        <x:f>VLOOKUP('Datos_Brutos'!F51,Listas!$A$2:$B$13,2,FALSE)</x:f>
        <x:v>Maule</x:v>
      </x:c>
      <x:c r="H51" t="str">
        <x:f>VLOOKUP('Datos_Brutos'!G51,Listas!$D$2:$E$10,2,FALSE)</x:f>
        <x:v>Web</x:v>
      </x:c>
      <x:c r="I51" t="n">
        <x:f>'Datos_Brutos'!H51</x:f>
        <x:v>3</x:v>
      </x:c>
      <x:c r="J51" s="12" t="n">
        <x:f>'Datos_Brutos'!I51</x:f>
        <x:v>7990</x:v>
      </x:c>
      <x:c r="K51" s="12" t="n">
        <x:f>'Datos_Brutos'!J51</x:f>
        <x:v>2600</x:v>
      </x:c>
      <x:c r="L51" s="14" t="n">
        <x:f>'Datos_Brutos'!K51</x:f>
        <x:v>0</x:v>
      </x:c>
      <x:c r="M51" t="str">
        <x:f>VLOOKUP('Datos_Brutos'!L51,Listas!$G$2:$H$10,2,FALSE)</x:f>
        <x:v>Completado</x:v>
      </x:c>
      <x:c r="N51" s="12" t="n">
        <x:f>I51*J51</x:f>
        <x:v>23970</x:v>
      </x:c>
      <x:c r="O51" s="12" t="n">
        <x:f>IF(M51="Cancelado",0,N51*(1-L51))</x:f>
        <x:v>23970</x:v>
      </x:c>
      <x:c r="P51" s="12" t="n">
        <x:f>IF(M51="Cancelado",0,I51*K51)</x:f>
        <x:v>7800</x:v>
      </x:c>
      <x:c r="Q51" s="12" t="n">
        <x:f>O51-P51</x:f>
        <x:v>16170</x:v>
      </x:c>
      <x:c r="R51" s="26" t="n">
        <x:f>IF(O51=0,0,Q51/O51)</x:f>
        <x:v>0.6745932415519399</x:v>
      </x:c>
    </x:row>
    <x:row r="52">
      <x:c r="A52" t="str">
        <x:f>'Datos_Brutos'!A52</x:f>
        <x:v>V-0051</x:v>
      </x:c>
      <x:c r="B52" s="10" t="n">
        <x:f>'Datos_Brutos'!B52</x:f>
        <x:v>46238</x:v>
      </x:c>
      <x:c r="C52" t="str">
        <x:f>TEXT(B52,"yyyy-mm")</x:f>
        <x:v>2026-08</x:v>
      </x:c>
      <x:c r="D52" t="str">
        <x:f>'Datos_Brutos'!C52</x:f>
        <x:v>Cliente 043</x:v>
      </x:c>
      <x:c r="E52" t="str">
        <x:f>'Datos_Brutos'!D52</x:f>
        <x:v>Planner</x:v>
      </x:c>
      <x:c r="F52" t="str">
        <x:f>'Datos_Brutos'!E52</x:f>
        <x:v>Papelería</x:v>
      </x:c>
      <x:c r="G52" t="str">
        <x:f>VLOOKUP('Datos_Brutos'!F52,Listas!$A$2:$B$13,2,FALSE)</x:f>
        <x:v>Maule</x:v>
      </x:c>
      <x:c r="H52" t="str">
        <x:f>VLOOKUP('Datos_Brutos'!G52,Listas!$D$2:$E$10,2,FALSE)</x:f>
        <x:v>Web</x:v>
      </x:c>
      <x:c r="I52" t="n">
        <x:f>'Datos_Brutos'!H52</x:f>
        <x:v>1</x:v>
      </x:c>
      <x:c r="J52" s="12" t="n">
        <x:f>'Datos_Brutos'!I52</x:f>
        <x:v>12990</x:v>
      </x:c>
      <x:c r="K52" s="12" t="n">
        <x:f>'Datos_Brutos'!J52</x:f>
        <x:v>4800</x:v>
      </x:c>
      <x:c r="L52" s="14" t="n">
        <x:f>'Datos_Brutos'!K52</x:f>
        <x:v>0</x:v>
      </x:c>
      <x:c r="M52" t="str">
        <x:f>VLOOKUP('Datos_Brutos'!L52,Listas!$G$2:$H$10,2,FALSE)</x:f>
        <x:v>Completado</x:v>
      </x:c>
      <x:c r="N52" s="12" t="n">
        <x:f>I52*J52</x:f>
        <x:v>12990</x:v>
      </x:c>
      <x:c r="O52" s="12" t="n">
        <x:f>IF(M52="Cancelado",0,N52*(1-L52))</x:f>
        <x:v>12990</x:v>
      </x:c>
      <x:c r="P52" s="12" t="n">
        <x:f>IF(M52="Cancelado",0,I52*K52)</x:f>
        <x:v>4800</x:v>
      </x:c>
      <x:c r="Q52" s="12" t="n">
        <x:f>O52-P52</x:f>
        <x:v>8190</x:v>
      </x:c>
      <x:c r="R52" s="26" t="n">
        <x:f>IF(O52=0,0,Q52/O52)</x:f>
        <x:v>0.6304849884526559</x:v>
      </x:c>
    </x:row>
    <x:row r="53">
      <x:c r="A53" t="str">
        <x:f>'Datos_Brutos'!A53</x:f>
        <x:v>V-0052</x:v>
      </x:c>
      <x:c r="B53" s="10" t="n">
        <x:f>'Datos_Brutos'!B53</x:f>
        <x:v>46104</x:v>
      </x:c>
      <x:c r="C53" t="str">
        <x:f>TEXT(B53,"yyyy-mm")</x:f>
        <x:v>2026-03</x:v>
      </x:c>
      <x:c r="D53" t="str">
        <x:f>'Datos_Brutos'!C53</x:f>
        <x:v>Cliente 043</x:v>
      </x:c>
      <x:c r="E53" t="str">
        <x:f>'Datos_Brutos'!D53</x:f>
        <x:v>Mochila</x:v>
      </x:c>
      <x:c r="F53" t="str">
        <x:f>'Datos_Brutos'!E53</x:f>
        <x:v>Moda</x:v>
      </x:c>
      <x:c r="G53" t="str">
        <x:f>VLOOKUP('Datos_Brutos'!F53,Listas!$A$2:$B$13,2,FALSE)</x:f>
        <x:v>Valparaíso</x:v>
      </x:c>
      <x:c r="H53" t="str">
        <x:f>VLOOKUP('Datos_Brutos'!G53,Listas!$D$2:$E$10,2,FALSE)</x:f>
        <x:v>Web</x:v>
      </x:c>
      <x:c r="I53" t="n">
        <x:f>'Datos_Brutos'!H53</x:f>
        <x:v>1</x:v>
      </x:c>
      <x:c r="J53" s="12" t="n">
        <x:f>'Datos_Brutos'!I53</x:f>
        <x:v>26990</x:v>
      </x:c>
      <x:c r="K53" s="12" t="n">
        <x:f>'Datos_Brutos'!J53</x:f>
        <x:v>12000</x:v>
      </x:c>
      <x:c r="L53" s="14" t="n">
        <x:f>'Datos_Brutos'!K53</x:f>
        <x:v>0</x:v>
      </x:c>
      <x:c r="M53" t="str">
        <x:f>VLOOKUP('Datos_Brutos'!L53,Listas!$G$2:$H$10,2,FALSE)</x:f>
        <x:v>Completado</x:v>
      </x:c>
      <x:c r="N53" s="12" t="n">
        <x:f>I53*J53</x:f>
        <x:v>26990</x:v>
      </x:c>
      <x:c r="O53" s="12" t="n">
        <x:f>IF(M53="Cancelado",0,N53*(1-L53))</x:f>
        <x:v>26990</x:v>
      </x:c>
      <x:c r="P53" s="12" t="n">
        <x:f>IF(M53="Cancelado",0,I53*K53)</x:f>
        <x:v>12000</x:v>
      </x:c>
      <x:c r="Q53" s="12" t="n">
        <x:f>O53-P53</x:f>
        <x:v>14990</x:v>
      </x:c>
      <x:c r="R53" s="26" t="n">
        <x:f>IF(O53=0,0,Q53/O53)</x:f>
        <x:v>0.555390885513153</x:v>
      </x:c>
    </x:row>
    <x:row r="54">
      <x:c r="A54" t="str">
        <x:f>'Datos_Brutos'!A54</x:f>
        <x:v>V-0053</x:v>
      </x:c>
      <x:c r="B54" s="10" t="n">
        <x:f>'Datos_Brutos'!B54</x:f>
        <x:v>46161</x:v>
      </x:c>
      <x:c r="C54" t="str">
        <x:f>TEXT(B54,"yyyy-mm")</x:f>
        <x:v>2026-05</x:v>
      </x:c>
      <x:c r="D54" t="str">
        <x:f>'Datos_Brutos'!C54</x:f>
        <x:v>Cliente 074</x:v>
      </x:c>
      <x:c r="E54" t="str">
        <x:f>'Datos_Brutos'!D54</x:f>
        <x:v>Polerón</x:v>
      </x:c>
      <x:c r="F54" t="str">
        <x:f>'Datos_Brutos'!E54</x:f>
        <x:v>Moda</x:v>
      </x:c>
      <x:c r="G54" t="str">
        <x:f>VLOOKUP('Datos_Brutos'!F54,Listas!$A$2:$B$13,2,FALSE)</x:f>
        <x:v>Valparaíso</x:v>
      </x:c>
      <x:c r="H54" t="str">
        <x:f>VLOOKUP('Datos_Brutos'!G54,Listas!$D$2:$E$10,2,FALSE)</x:f>
        <x:v>Web</x:v>
      </x:c>
      <x:c r="I54" t="n">
        <x:f>'Datos_Brutos'!H54</x:f>
        <x:v>1</x:v>
      </x:c>
      <x:c r="J54" s="12" t="n">
        <x:f>'Datos_Brutos'!I54</x:f>
        <x:v>29990</x:v>
      </x:c>
      <x:c r="K54" s="12" t="n">
        <x:f>'Datos_Brutos'!J54</x:f>
        <x:v>13500</x:v>
      </x:c>
      <x:c r="L54" s="14" t="n">
        <x:f>'Datos_Brutos'!K54</x:f>
        <x:v>0.1</x:v>
      </x:c>
      <x:c r="M54" t="str">
        <x:f>VLOOKUP('Datos_Brutos'!L54,Listas!$G$2:$H$10,2,FALSE)</x:f>
        <x:v>Cancelado</x:v>
      </x:c>
      <x:c r="N54" s="12" t="n">
        <x:f>I54*J54</x:f>
        <x:v>29990</x:v>
      </x:c>
      <x:c r="O54" s="12" t="n">
        <x:f>IF(M54="Cancelado",0,N54*(1-L54))</x:f>
        <x:v>0</x:v>
      </x:c>
      <x:c r="P54" s="12" t="n">
        <x:f>IF(M54="Cancelado",0,I54*K54)</x:f>
        <x:v>0</x:v>
      </x:c>
      <x:c r="Q54" s="12" t="n">
        <x:f>O54-P54</x:f>
        <x:v>0</x:v>
      </x:c>
      <x:c r="R54" s="26" t="n">
        <x:f>IF(O54=0,0,Q54/O54)</x:f>
        <x:v>0</x:v>
      </x:c>
    </x:row>
    <x:row r="55">
      <x:c r="A55" t="str">
        <x:f>'Datos_Brutos'!A55</x:f>
        <x:v>V-0054</x:v>
      </x:c>
      <x:c r="B55" s="10" t="n">
        <x:f>'Datos_Brutos'!B55</x:f>
        <x:v>46120</x:v>
      </x:c>
      <x:c r="C55" t="str">
        <x:f>TEXT(B55,"yyyy-mm")</x:f>
        <x:v>2026-04</x:v>
      </x:c>
      <x:c r="D55" t="str">
        <x:f>'Datos_Brutos'!C55</x:f>
        <x:v>Cliente 029</x:v>
      </x:c>
      <x:c r="E55" t="str">
        <x:f>'Datos_Brutos'!D55</x:f>
        <x:v>Polerón</x:v>
      </x:c>
      <x:c r="F55" t="str">
        <x:f>'Datos_Brutos'!E55</x:f>
        <x:v>Moda</x:v>
      </x:c>
      <x:c r="G55" t="str">
        <x:f>VLOOKUP('Datos_Brutos'!F55,Listas!$A$2:$B$13,2,FALSE)</x:f>
        <x:v>Biobío</x:v>
      </x:c>
      <x:c r="H55" t="str">
        <x:f>VLOOKUP('Datos_Brutos'!G55,Listas!$D$2:$E$10,2,FALSE)</x:f>
        <x:v>Instagram</x:v>
      </x:c>
      <x:c r="I55" t="n">
        <x:f>'Datos_Brutos'!H55</x:f>
        <x:v>1</x:v>
      </x:c>
      <x:c r="J55" s="12" t="n">
        <x:f>'Datos_Brutos'!I55</x:f>
        <x:v>29990</x:v>
      </x:c>
      <x:c r="K55" s="12" t="n">
        <x:f>'Datos_Brutos'!J55</x:f>
        <x:v>13500</x:v>
      </x:c>
      <x:c r="L55" s="14" t="n">
        <x:f>'Datos_Brutos'!K55</x:f>
        <x:v>0</x:v>
      </x:c>
      <x:c r="M55" t="str">
        <x:f>VLOOKUP('Datos_Brutos'!L55,Listas!$G$2:$H$10,2,FALSE)</x:f>
        <x:v>Completado</x:v>
      </x:c>
      <x:c r="N55" s="12" t="n">
        <x:f>I55*J55</x:f>
        <x:v>29990</x:v>
      </x:c>
      <x:c r="O55" s="12" t="n">
        <x:f>IF(M55="Cancelado",0,N55*(1-L55))</x:f>
        <x:v>29990</x:v>
      </x:c>
      <x:c r="P55" s="12" t="n">
        <x:f>IF(M55="Cancelado",0,I55*K55)</x:f>
        <x:v>13500</x:v>
      </x:c>
      <x:c r="Q55" s="12" t="n">
        <x:f>O55-P55</x:f>
        <x:v>16490</x:v>
      </x:c>
      <x:c r="R55" s="26" t="n">
        <x:f>IF(O55=0,0,Q55/O55)</x:f>
        <x:v>0.5498499499833278</x:v>
      </x:c>
    </x:row>
    <x:row r="56">
      <x:c r="A56" t="str">
        <x:f>'Datos_Brutos'!A56</x:f>
        <x:v>V-0055</x:v>
      </x:c>
      <x:c r="B56" s="10" t="n">
        <x:f>'Datos_Brutos'!B56</x:f>
        <x:v>46147</x:v>
      </x:c>
      <x:c r="C56" t="str">
        <x:f>TEXT(B56,"yyyy-mm")</x:f>
        <x:v>2026-05</x:v>
      </x:c>
      <x:c r="D56" t="str">
        <x:f>'Datos_Brutos'!C56</x:f>
        <x:v>Cliente 060</x:v>
      </x:c>
      <x:c r="E56" t="str">
        <x:f>'Datos_Brutos'!D56</x:f>
        <x:v>Lámpara</x:v>
      </x:c>
      <x:c r="F56" t="str">
        <x:f>'Datos_Brutos'!E56</x:f>
        <x:v>Hogar</x:v>
      </x:c>
      <x:c r="G56" t="str">
        <x:f>VLOOKUP('Datos_Brutos'!F56,Listas!$A$2:$B$13,2,FALSE)</x:f>
        <x:v>Maule</x:v>
      </x:c>
      <x:c r="H56" t="str">
        <x:f>VLOOKUP('Datos_Brutos'!G56,Listas!$D$2:$E$10,2,FALSE)</x:f>
        <x:v>Web</x:v>
      </x:c>
      <x:c r="I56" t="n">
        <x:f>'Datos_Brutos'!H56</x:f>
        <x:v>1</x:v>
      </x:c>
      <x:c r="J56" s="12" t="n">
        <x:f>'Datos_Brutos'!I56</x:f>
        <x:v>21990</x:v>
      </x:c>
      <x:c r="K56" s="12" t="n">
        <x:f>'Datos_Brutos'!J56</x:f>
        <x:v>11000</x:v>
      </x:c>
      <x:c r="L56" s="14" t="n">
        <x:f>'Datos_Brutos'!K56</x:f>
        <x:v>0.05</x:v>
      </x:c>
      <x:c r="M56" t="str">
        <x:f>VLOOKUP('Datos_Brutos'!L56,Listas!$G$2:$H$10,2,FALSE)</x:f>
        <x:v>Completado</x:v>
      </x:c>
      <x:c r="N56" s="12" t="n">
        <x:f>I56*J56</x:f>
        <x:v>21990</x:v>
      </x:c>
      <x:c r="O56" s="12" t="n">
        <x:f>IF(M56="Cancelado",0,N56*(1-L56))</x:f>
        <x:v>20890.5</x:v>
      </x:c>
      <x:c r="P56" s="12" t="n">
        <x:f>IF(M56="Cancelado",0,I56*K56)</x:f>
        <x:v>11000</x:v>
      </x:c>
      <x:c r="Q56" s="12" t="n">
        <x:f>O56-P56</x:f>
        <x:v>9890.5</x:v>
      </x:c>
      <x:c r="R56" s="26" t="n">
        <x:f>IF(O56=0,0,Q56/O56)</x:f>
        <x:v>0.47344486728417223</x:v>
      </x:c>
    </x:row>
    <x:row r="57">
      <x:c r="A57" t="str">
        <x:f>'Datos_Brutos'!A57</x:f>
        <x:v>V-0056</x:v>
      </x:c>
      <x:c r="B57" s="10" t="n">
        <x:f>'Datos_Brutos'!B57</x:f>
        <x:v>46258</x:v>
      </x:c>
      <x:c r="C57" t="str">
        <x:f>TEXT(B57,"yyyy-mm")</x:f>
        <x:v>2026-08</x:v>
      </x:c>
      <x:c r="D57" t="str">
        <x:f>'Datos_Brutos'!C57</x:f>
        <x:v>Cliente 060</x:v>
      </x:c>
      <x:c r="E57" t="str">
        <x:f>'Datos_Brutos'!D57</x:f>
        <x:v>Mouse</x:v>
      </x:c>
      <x:c r="F57" t="str">
        <x:f>'Datos_Brutos'!E57</x:f>
        <x:v>Tecnología</x:v>
      </x:c>
      <x:c r="G57" t="str">
        <x:f>VLOOKUP('Datos_Brutos'!F57,Listas!$A$2:$B$13,2,FALSE)</x:f>
        <x:v>Metropolitana</x:v>
      </x:c>
      <x:c r="H57" t="str">
        <x:f>VLOOKUP('Datos_Brutos'!G57,Listas!$D$2:$E$10,2,FALSE)</x:f>
        <x:v>Instagram</x:v>
      </x:c>
      <x:c r="I57" t="n">
        <x:f>'Datos_Brutos'!H57</x:f>
        <x:v>4</x:v>
      </x:c>
      <x:c r="J57" s="12" t="n">
        <x:f>'Datos_Brutos'!I57</x:f>
        <x:v>18990</x:v>
      </x:c>
      <x:c r="K57" s="12" t="n">
        <x:f>'Datos_Brutos'!J57</x:f>
        <x:v>9800</x:v>
      </x:c>
      <x:c r="L57" s="14" t="n">
        <x:f>'Datos_Brutos'!K57</x:f>
        <x:v>0</x:v>
      </x:c>
      <x:c r="M57" t="str">
        <x:f>VLOOKUP('Datos_Brutos'!L57,Listas!$G$2:$H$10,2,FALSE)</x:f>
        <x:v>Completado</x:v>
      </x:c>
      <x:c r="N57" s="12" t="n">
        <x:f>I57*J57</x:f>
        <x:v>75960</x:v>
      </x:c>
      <x:c r="O57" s="12" t="n">
        <x:f>IF(M57="Cancelado",0,N57*(1-L57))</x:f>
        <x:v>75960</x:v>
      </x:c>
      <x:c r="P57" s="12" t="n">
        <x:f>IF(M57="Cancelado",0,I57*K57)</x:f>
        <x:v>39200</x:v>
      </x:c>
      <x:c r="Q57" s="12" t="n">
        <x:f>O57-P57</x:f>
        <x:v>36760</x:v>
      </x:c>
      <x:c r="R57" s="26" t="n">
        <x:f>IF(O57=0,0,Q57/O57)</x:f>
        <x:v>0.48393891521853605</x:v>
      </x:c>
    </x:row>
    <x:row r="58">
      <x:c r="A58" t="str">
        <x:f>'Datos_Brutos'!A58</x:f>
        <x:v>V-0057</x:v>
      </x:c>
      <x:c r="B58" s="10" t="n">
        <x:f>'Datos_Brutos'!B58</x:f>
        <x:v>46069</x:v>
      </x:c>
      <x:c r="C58" t="str">
        <x:f>TEXT(B58,"yyyy-mm")</x:f>
        <x:v>2026-02</x:v>
      </x:c>
      <x:c r="D58" t="str">
        <x:f>'Datos_Brutos'!C58</x:f>
        <x:v>Cliente 054</x:v>
      </x:c>
      <x:c r="E58" t="str">
        <x:f>'Datos_Brutos'!D58</x:f>
        <x:v>Auriculares</x:v>
      </x:c>
      <x:c r="F58" t="str">
        <x:f>'Datos_Brutos'!E58</x:f>
        <x:v>Tecnología</x:v>
      </x:c>
      <x:c r="G58" t="str">
        <x:f>VLOOKUP('Datos_Brutos'!F58,Listas!$A$2:$B$13,2,FALSE)</x:f>
        <x:v>Biobío</x:v>
      </x:c>
      <x:c r="H58" t="str">
        <x:f>VLOOKUP('Datos_Brutos'!G58,Listas!$D$2:$E$10,2,FALSE)</x:f>
        <x:v>Web</x:v>
      </x:c>
      <x:c r="I58" t="n">
        <x:f>'Datos_Brutos'!H58</x:f>
        <x:v>1</x:v>
      </x:c>
      <x:c r="J58" s="12" t="n">
        <x:f>'Datos_Brutos'!I58</x:f>
        <x:v>24990</x:v>
      </x:c>
      <x:c r="K58" s="12" t="n">
        <x:f>'Datos_Brutos'!J58</x:f>
        <x:v>14500</x:v>
      </x:c>
      <x:c r="L58" s="14" t="n">
        <x:f>'Datos_Brutos'!K58</x:f>
        <x:v>0</x:v>
      </x:c>
      <x:c r="M58" t="str">
        <x:f>VLOOKUP('Datos_Brutos'!L58,Listas!$G$2:$H$10,2,FALSE)</x:f>
        <x:v>Completado</x:v>
      </x:c>
      <x:c r="N58" s="12" t="n">
        <x:f>I58*J58</x:f>
        <x:v>24990</x:v>
      </x:c>
      <x:c r="O58" s="12" t="n">
        <x:f>IF(M58="Cancelado",0,N58*(1-L58))</x:f>
        <x:v>24990</x:v>
      </x:c>
      <x:c r="P58" s="12" t="n">
        <x:f>IF(M58="Cancelado",0,I58*K58)</x:f>
        <x:v>14500</x:v>
      </x:c>
      <x:c r="Q58" s="12" t="n">
        <x:f>O58-P58</x:f>
        <x:v>10490</x:v>
      </x:c>
      <x:c r="R58" s="26" t="n">
        <x:f>IF(O58=0,0,Q58/O58)</x:f>
        <x:v>0.41976790716286516</x:v>
      </x:c>
    </x:row>
    <x:row r="59">
      <x:c r="A59" t="str">
        <x:f>'Datos_Brutos'!A59</x:f>
        <x:v>V-0058</x:v>
      </x:c>
      <x:c r="B59" s="10" t="n">
        <x:f>'Datos_Brutos'!B59</x:f>
        <x:v>46087</x:v>
      </x:c>
      <x:c r="C59" t="str">
        <x:f>TEXT(B59,"yyyy-mm")</x:f>
        <x:v>2026-03</x:v>
      </x:c>
      <x:c r="D59" t="str">
        <x:f>'Datos_Brutos'!C59</x:f>
        <x:v>Cliente 004</x:v>
      </x:c>
      <x:c r="E59" t="str">
        <x:f>'Datos_Brutos'!D59</x:f>
        <x:v>Teclado</x:v>
      </x:c>
      <x:c r="F59" t="str">
        <x:f>'Datos_Brutos'!E59</x:f>
        <x:v>Tecnología</x:v>
      </x:c>
      <x:c r="G59" t="str">
        <x:f>VLOOKUP('Datos_Brutos'!F59,Listas!$A$2:$B$13,2,FALSE)</x:f>
        <x:v>Metropolitana</x:v>
      </x:c>
      <x:c r="H59" t="str">
        <x:f>VLOOKUP('Datos_Brutos'!G59,Listas!$D$2:$E$10,2,FALSE)</x:f>
        <x:v>Web</x:v>
      </x:c>
      <x:c r="I59" t="n">
        <x:f>'Datos_Brutos'!H59</x:f>
        <x:v>1</x:v>
      </x:c>
      <x:c r="J59" s="12" t="n">
        <x:f>'Datos_Brutos'!I59</x:f>
        <x:v>32990</x:v>
      </x:c>
      <x:c r="K59" s="12" t="n">
        <x:f>'Datos_Brutos'!J59</x:f>
        <x:v>18500</x:v>
      </x:c>
      <x:c r="L59" s="14" t="n">
        <x:f>'Datos_Brutos'!K59</x:f>
        <x:v>0</x:v>
      </x:c>
      <x:c r="M59" t="str">
        <x:f>VLOOKUP('Datos_Brutos'!L59,Listas!$G$2:$H$10,2,FALSE)</x:f>
        <x:v>Completado</x:v>
      </x:c>
      <x:c r="N59" s="12" t="n">
        <x:f>I59*J59</x:f>
        <x:v>32990</x:v>
      </x:c>
      <x:c r="O59" s="12" t="n">
        <x:f>IF(M59="Cancelado",0,N59*(1-L59))</x:f>
        <x:v>32990</x:v>
      </x:c>
      <x:c r="P59" s="12" t="n">
        <x:f>IF(M59="Cancelado",0,I59*K59)</x:f>
        <x:v>18500</x:v>
      </x:c>
      <x:c r="Q59" s="12" t="n">
        <x:f>O59-P59</x:f>
        <x:v>14490</x:v>
      </x:c>
      <x:c r="R59" s="26" t="n">
        <x:f>IF(O59=0,0,Q59/O59)</x:f>
        <x:v>0.43922400727493177</x:v>
      </x:c>
    </x:row>
    <x:row r="60">
      <x:c r="A60" t="str">
        <x:f>'Datos_Brutos'!A60</x:f>
        <x:v>V-0059</x:v>
      </x:c>
      <x:c r="B60" s="10" t="n">
        <x:f>'Datos_Brutos'!B60</x:f>
        <x:v>46086</x:v>
      </x:c>
      <x:c r="C60" t="str">
        <x:f>TEXT(B60,"yyyy-mm")</x:f>
        <x:v>2026-03</x:v>
      </x:c>
      <x:c r="D60" t="str">
        <x:f>'Datos_Brutos'!C60</x:f>
        <x:v>Cliente 033</x:v>
      </x:c>
      <x:c r="E60" t="str">
        <x:f>'Datos_Brutos'!D60</x:f>
        <x:v>Lámpara</x:v>
      </x:c>
      <x:c r="F60" t="str">
        <x:f>'Datos_Brutos'!E60</x:f>
        <x:v>Hogar</x:v>
      </x:c>
      <x:c r="G60" t="str">
        <x:f>VLOOKUP('Datos_Brutos'!F60,Listas!$A$2:$B$13,2,FALSE)</x:f>
        <x:v>Valparaíso</x:v>
      </x:c>
      <x:c r="H60" t="str">
        <x:f>VLOOKUP('Datos_Brutos'!G60,Listas!$D$2:$E$10,2,FALSE)</x:f>
        <x:v>Web</x:v>
      </x:c>
      <x:c r="I60" t="n">
        <x:f>'Datos_Brutos'!H60</x:f>
        <x:v>2</x:v>
      </x:c>
      <x:c r="J60" s="12" t="n">
        <x:f>'Datos_Brutos'!I60</x:f>
        <x:v>21990</x:v>
      </x:c>
      <x:c r="K60" s="12" t="n">
        <x:f>'Datos_Brutos'!J60</x:f>
        <x:v>11000</x:v>
      </x:c>
      <x:c r="L60" s="14" t="n">
        <x:f>'Datos_Brutos'!K60</x:f>
        <x:v>0</x:v>
      </x:c>
      <x:c r="M60" t="str">
        <x:f>VLOOKUP('Datos_Brutos'!L60,Listas!$G$2:$H$10,2,FALSE)</x:f>
        <x:v>Completado</x:v>
      </x:c>
      <x:c r="N60" s="12" t="n">
        <x:f>I60*J60</x:f>
        <x:v>43980</x:v>
      </x:c>
      <x:c r="O60" s="12" t="n">
        <x:f>IF(M60="Cancelado",0,N60*(1-L60))</x:f>
        <x:v>43980</x:v>
      </x:c>
      <x:c r="P60" s="12" t="n">
        <x:f>IF(M60="Cancelado",0,I60*K60)</x:f>
        <x:v>22000</x:v>
      </x:c>
      <x:c r="Q60" s="12" t="n">
        <x:f>O60-P60</x:f>
        <x:v>21980</x:v>
      </x:c>
      <x:c r="R60" s="26" t="n">
        <x:f>IF(O60=0,0,Q60/O60)</x:f>
        <x:v>0.49977262391996363</x:v>
      </x:c>
    </x:row>
    <x:row r="61">
      <x:c r="A61" t="str">
        <x:f>'Datos_Brutos'!A61</x:f>
        <x:v>V-0060</x:v>
      </x:c>
      <x:c r="B61" s="10" t="n">
        <x:f>'Datos_Brutos'!B61</x:f>
        <x:v>46219</x:v>
      </x:c>
      <x:c r="C61" t="str">
        <x:f>TEXT(B61,"yyyy-mm")</x:f>
        <x:v>2026-07</x:v>
      </x:c>
      <x:c r="D61" t="str">
        <x:f>'Datos_Brutos'!C61</x:f>
        <x:v>Cliente 049</x:v>
      </x:c>
      <x:c r="E61" t="str">
        <x:f>'Datos_Brutos'!D61</x:f>
        <x:v>Botella térmica</x:v>
      </x:c>
      <x:c r="F61" t="str">
        <x:f>'Datos_Brutos'!E61</x:f>
        <x:v>Hogar</x:v>
      </x:c>
      <x:c r="G61" t="str">
        <x:f>VLOOKUP('Datos_Brutos'!F61,Listas!$A$2:$B$13,2,FALSE)</x:f>
        <x:v>Metropolitana</x:v>
      </x:c>
      <x:c r="H61" t="str">
        <x:f>VLOOKUP('Datos_Brutos'!G61,Listas!$D$2:$E$10,2,FALSE)</x:f>
        <x:v>Marketplace</x:v>
      </x:c>
      <x:c r="I61" t="n">
        <x:f>'Datos_Brutos'!H61</x:f>
        <x:v>1</x:v>
      </x:c>
      <x:c r="J61" s="12" t="n">
        <x:f>'Datos_Brutos'!I61</x:f>
        <x:v>17990</x:v>
      </x:c>
      <x:c r="K61" s="12" t="n">
        <x:f>'Datos_Brutos'!J61</x:f>
        <x:v>8300</x:v>
      </x:c>
      <x:c r="L61" s="14" t="n">
        <x:f>'Datos_Brutos'!K61</x:f>
        <x:v>0</x:v>
      </x:c>
      <x:c r="M61" t="str">
        <x:f>VLOOKUP('Datos_Brutos'!L61,Listas!$G$2:$H$10,2,FALSE)</x:f>
        <x:v>Completado</x:v>
      </x:c>
      <x:c r="N61" s="12" t="n">
        <x:f>I61*J61</x:f>
        <x:v>17990</x:v>
      </x:c>
      <x:c r="O61" s="12" t="n">
        <x:f>IF(M61="Cancelado",0,N61*(1-L61))</x:f>
        <x:v>17990</x:v>
      </x:c>
      <x:c r="P61" s="12" t="n">
        <x:f>IF(M61="Cancelado",0,I61*K61)</x:f>
        <x:v>8300</x:v>
      </x:c>
      <x:c r="Q61" s="12" t="n">
        <x:f>O61-P61</x:f>
        <x:v>9690</x:v>
      </x:c>
      <x:c r="R61" s="26" t="n">
        <x:f>IF(O61=0,0,Q61/O61)</x:f>
        <x:v>0.5386325736520289</x:v>
      </x:c>
    </x:row>
    <x:row r="62">
      <x:c r="A62" t="str">
        <x:f>'Datos_Brutos'!A62</x:f>
        <x:v>V-0061</x:v>
      </x:c>
      <x:c r="B62" s="10" t="n">
        <x:f>'Datos_Brutos'!B62</x:f>
        <x:v>46124</x:v>
      </x:c>
      <x:c r="C62" t="str">
        <x:f>TEXT(B62,"yyyy-mm")</x:f>
        <x:v>2026-04</x:v>
      </x:c>
      <x:c r="D62" t="str">
        <x:f>'Datos_Brutos'!C62</x:f>
        <x:v>Cliente 073</x:v>
      </x:c>
      <x:c r="E62" t="str">
        <x:f>'Datos_Brutos'!D62</x:f>
        <x:v>Set de lápices</x:v>
      </x:c>
      <x:c r="F62" t="str">
        <x:f>'Datos_Brutos'!E62</x:f>
        <x:v>Papelería</x:v>
      </x:c>
      <x:c r="G62" t="str">
        <x:f>VLOOKUP('Datos_Brutos'!F62,Listas!$A$2:$B$13,2,FALSE)</x:f>
        <x:v>Valparaíso</x:v>
      </x:c>
      <x:c r="H62" t="str">
        <x:f>VLOOKUP('Datos_Brutos'!G62,Listas!$D$2:$E$10,2,FALSE)</x:f>
        <x:v>Instagram</x:v>
      </x:c>
      <x:c r="I62" t="n">
        <x:f>'Datos_Brutos'!H62</x:f>
        <x:v>1</x:v>
      </x:c>
      <x:c r="J62" s="12" t="n">
        <x:f>'Datos_Brutos'!I62</x:f>
        <x:v>7990</x:v>
      </x:c>
      <x:c r="K62" s="12" t="n">
        <x:f>'Datos_Brutos'!J62</x:f>
        <x:v>2600</x:v>
      </x:c>
      <x:c r="L62" s="14" t="n">
        <x:f>'Datos_Brutos'!K62</x:f>
        <x:v>0.1</x:v>
      </x:c>
      <x:c r="M62" t="str">
        <x:f>VLOOKUP('Datos_Brutos'!L62,Listas!$G$2:$H$10,2,FALSE)</x:f>
        <x:v>Pendiente</x:v>
      </x:c>
      <x:c r="N62" s="12" t="n">
        <x:f>I62*J62</x:f>
        <x:v>7990</x:v>
      </x:c>
      <x:c r="O62" s="12" t="n">
        <x:f>IF(M62="Cancelado",0,N62*(1-L62))</x:f>
        <x:v>7191</x:v>
      </x:c>
      <x:c r="P62" s="12" t="n">
        <x:f>IF(M62="Cancelado",0,I62*K62)</x:f>
        <x:v>2600</x:v>
      </x:c>
      <x:c r="Q62" s="12" t="n">
        <x:f>O62-P62</x:f>
        <x:v>4591</x:v>
      </x:c>
      <x:c r="R62" s="26" t="n">
        <x:f>IF(O62=0,0,Q62/O62)</x:f>
        <x:v>0.638436935057711</x:v>
      </x:c>
    </x:row>
    <x:row r="63">
      <x:c r="A63" t="str">
        <x:f>'Datos_Brutos'!A63</x:f>
        <x:v>V-0062</x:v>
      </x:c>
      <x:c r="B63" s="10" t="n">
        <x:f>'Datos_Brutos'!B63</x:f>
        <x:v>46223</x:v>
      </x:c>
      <x:c r="C63" t="str">
        <x:f>TEXT(B63,"yyyy-mm")</x:f>
        <x:v>2026-07</x:v>
      </x:c>
      <x:c r="D63" t="str">
        <x:f>'Datos_Brutos'!C63</x:f>
        <x:v>Cliente 063</x:v>
      </x:c>
      <x:c r="E63" t="str">
        <x:f>'Datos_Brutos'!D63</x:f>
        <x:v>Auriculares</x:v>
      </x:c>
      <x:c r="F63" t="str">
        <x:f>'Datos_Brutos'!E63</x:f>
        <x:v>Tecnología</x:v>
      </x:c>
      <x:c r="G63" t="str">
        <x:f>VLOOKUP('Datos_Brutos'!F63,Listas!$A$2:$B$13,2,FALSE)</x:f>
        <x:v>Maule</x:v>
      </x:c>
      <x:c r="H63" t="str">
        <x:f>VLOOKUP('Datos_Brutos'!G63,Listas!$D$2:$E$10,2,FALSE)</x:f>
        <x:v>Web</x:v>
      </x:c>
      <x:c r="I63" t="n">
        <x:f>'Datos_Brutos'!H63</x:f>
        <x:v>1</x:v>
      </x:c>
      <x:c r="J63" s="12" t="n">
        <x:f>'Datos_Brutos'!I63</x:f>
        <x:v>24990</x:v>
      </x:c>
      <x:c r="K63" s="12" t="n">
        <x:f>'Datos_Brutos'!J63</x:f>
        <x:v>14500</x:v>
      </x:c>
      <x:c r="L63" s="14" t="n">
        <x:f>'Datos_Brutos'!K63</x:f>
        <x:v>0.1</x:v>
      </x:c>
      <x:c r="M63" t="str">
        <x:f>VLOOKUP('Datos_Brutos'!L63,Listas!$G$2:$H$10,2,FALSE)</x:f>
        <x:v>Completado</x:v>
      </x:c>
      <x:c r="N63" s="12" t="n">
        <x:f>I63*J63</x:f>
        <x:v>24990</x:v>
      </x:c>
      <x:c r="O63" s="12" t="n">
        <x:f>IF(M63="Cancelado",0,N63*(1-L63))</x:f>
        <x:v>22491</x:v>
      </x:c>
      <x:c r="P63" s="12" t="n">
        <x:f>IF(M63="Cancelado",0,I63*K63)</x:f>
        <x:v>14500</x:v>
      </x:c>
      <x:c r="Q63" s="12" t="n">
        <x:f>O63-P63</x:f>
        <x:v>7991</x:v>
      </x:c>
      <x:c r="R63" s="26" t="n">
        <x:f>IF(O63=0,0,Q63/O63)</x:f>
        <x:v>0.35529767462540573</x:v>
      </x:c>
    </x:row>
    <x:row r="64">
      <x:c r="A64" t="str">
        <x:f>'Datos_Brutos'!A64</x:f>
        <x:v>V-0063</x:v>
      </x:c>
      <x:c r="B64" s="10" t="n">
        <x:f>'Datos_Brutos'!B64</x:f>
        <x:v>46050</x:v>
      </x:c>
      <x:c r="C64" t="str">
        <x:f>TEXT(B64,"yyyy-mm")</x:f>
        <x:v>2026-01</x:v>
      </x:c>
      <x:c r="D64" t="str">
        <x:f>'Datos_Brutos'!C64</x:f>
        <x:v>Cliente 069</x:v>
      </x:c>
      <x:c r="E64" t="str">
        <x:f>'Datos_Brutos'!D64</x:f>
        <x:v>Polera básica</x:v>
      </x:c>
      <x:c r="F64" t="str">
        <x:f>'Datos_Brutos'!E64</x:f>
        <x:v>Moda</x:v>
      </x:c>
      <x:c r="G64" t="str">
        <x:f>VLOOKUP('Datos_Brutos'!F64,Listas!$A$2:$B$13,2,FALSE)</x:f>
        <x:v>Maule</x:v>
      </x:c>
      <x:c r="H64" t="str">
        <x:f>VLOOKUP('Datos_Brutos'!G64,Listas!$D$2:$E$10,2,FALSE)</x:f>
        <x:v>Web</x:v>
      </x:c>
      <x:c r="I64" t="n">
        <x:f>'Datos_Brutos'!H64</x:f>
        <x:v>4</x:v>
      </x:c>
      <x:c r="J64" s="12" t="n">
        <x:f>'Datos_Brutos'!I64</x:f>
        <x:v>15990</x:v>
      </x:c>
      <x:c r="K64" s="12" t="n">
        <x:f>'Datos_Brutos'!J64</x:f>
        <x:v>6800</x:v>
      </x:c>
      <x:c r="L64" s="14" t="n">
        <x:f>'Datos_Brutos'!K64</x:f>
        <x:v>0</x:v>
      </x:c>
      <x:c r="M64" t="str">
        <x:f>VLOOKUP('Datos_Brutos'!L64,Listas!$G$2:$H$10,2,FALSE)</x:f>
        <x:v>Completado</x:v>
      </x:c>
      <x:c r="N64" s="12" t="n">
        <x:f>I64*J64</x:f>
        <x:v>63960</x:v>
      </x:c>
      <x:c r="O64" s="12" t="n">
        <x:f>IF(M64="Cancelado",0,N64*(1-L64))</x:f>
        <x:v>63960</x:v>
      </x:c>
      <x:c r="P64" s="12" t="n">
        <x:f>IF(M64="Cancelado",0,I64*K64)</x:f>
        <x:v>27200</x:v>
      </x:c>
      <x:c r="Q64" s="12" t="n">
        <x:f>O64-P64</x:f>
        <x:v>36760</x:v>
      </x:c>
      <x:c r="R64" s="26" t="n">
        <x:f>IF(O64=0,0,Q64/O64)</x:f>
        <x:v>0.5747342088805504</x:v>
      </x:c>
    </x:row>
    <x:row r="65">
      <x:c r="A65" t="str">
        <x:f>'Datos_Brutos'!A65</x:f>
        <x:v>V-0064</x:v>
      </x:c>
      <x:c r="B65" s="10" t="n">
        <x:f>'Datos_Brutos'!B65</x:f>
        <x:v>46221</x:v>
      </x:c>
      <x:c r="C65" t="str">
        <x:f>TEXT(B65,"yyyy-mm")</x:f>
        <x:v>2026-07</x:v>
      </x:c>
      <x:c r="D65" t="str">
        <x:f>'Datos_Brutos'!C65</x:f>
        <x:v>Cliente 060</x:v>
      </x:c>
      <x:c r="E65" t="str">
        <x:f>'Datos_Brutos'!D65</x:f>
        <x:v>Polerón</x:v>
      </x:c>
      <x:c r="F65" t="str">
        <x:f>'Datos_Brutos'!E65</x:f>
        <x:v>Moda</x:v>
      </x:c>
      <x:c r="G65" t="str">
        <x:f>VLOOKUP('Datos_Brutos'!F65,Listas!$A$2:$B$13,2,FALSE)</x:f>
        <x:v>Biobío</x:v>
      </x:c>
      <x:c r="H65" t="str">
        <x:f>VLOOKUP('Datos_Brutos'!G65,Listas!$D$2:$E$10,2,FALSE)</x:f>
        <x:v>Marketplace</x:v>
      </x:c>
      <x:c r="I65" t="n">
        <x:f>'Datos_Brutos'!H65</x:f>
        <x:v>1</x:v>
      </x:c>
      <x:c r="J65" s="12" t="n">
        <x:f>'Datos_Brutos'!I65</x:f>
        <x:v>29990</x:v>
      </x:c>
      <x:c r="K65" s="12" t="n">
        <x:f>'Datos_Brutos'!J65</x:f>
        <x:v>13500</x:v>
      </x:c>
      <x:c r="L65" s="14" t="n">
        <x:f>'Datos_Brutos'!K65</x:f>
        <x:v>0</x:v>
      </x:c>
      <x:c r="M65" t="str">
        <x:f>VLOOKUP('Datos_Brutos'!L65,Listas!$G$2:$H$10,2,FALSE)</x:f>
        <x:v>Completado</x:v>
      </x:c>
      <x:c r="N65" s="12" t="n">
        <x:f>I65*J65</x:f>
        <x:v>29990</x:v>
      </x:c>
      <x:c r="O65" s="12" t="n">
        <x:f>IF(M65="Cancelado",0,N65*(1-L65))</x:f>
        <x:v>29990</x:v>
      </x:c>
      <x:c r="P65" s="12" t="n">
        <x:f>IF(M65="Cancelado",0,I65*K65)</x:f>
        <x:v>13500</x:v>
      </x:c>
      <x:c r="Q65" s="12" t="n">
        <x:f>O65-P65</x:f>
        <x:v>16490</x:v>
      </x:c>
      <x:c r="R65" s="26" t="n">
        <x:f>IF(O65=0,0,Q65/O65)</x:f>
        <x:v>0.5498499499833278</x:v>
      </x:c>
    </x:row>
    <x:row r="66">
      <x:c r="A66" t="str">
        <x:f>'Datos_Brutos'!A66</x:f>
        <x:v>V-0065</x:v>
      </x:c>
      <x:c r="B66" s="10" t="n">
        <x:f>'Datos_Brutos'!B66</x:f>
        <x:v>46168</x:v>
      </x:c>
      <x:c r="C66" t="str">
        <x:f>TEXT(B66,"yyyy-mm")</x:f>
        <x:v>2026-05</x:v>
      </x:c>
      <x:c r="D66" t="str">
        <x:f>'Datos_Brutos'!C66</x:f>
        <x:v>Cliente 034</x:v>
      </x:c>
      <x:c r="E66" t="str">
        <x:f>'Datos_Brutos'!D66</x:f>
        <x:v>Cuaderno premium</x:v>
      </x:c>
      <x:c r="F66" t="str">
        <x:f>'Datos_Brutos'!E66</x:f>
        <x:v>Papelería</x:v>
      </x:c>
      <x:c r="G66" t="str">
        <x:f>VLOOKUP('Datos_Brutos'!F66,Listas!$A$2:$B$13,2,FALSE)</x:f>
        <x:v>Biobío</x:v>
      </x:c>
      <x:c r="H66" t="str">
        <x:f>VLOOKUP('Datos_Brutos'!G66,Listas!$D$2:$E$10,2,FALSE)</x:f>
        <x:v>Web</x:v>
      </x:c>
      <x:c r="I66" t="n">
        <x:f>'Datos_Brutos'!H66</x:f>
        <x:v>2</x:v>
      </x:c>
      <x:c r="J66" s="12" t="n">
        <x:f>'Datos_Brutos'!I66</x:f>
        <x:v>9990</x:v>
      </x:c>
      <x:c r="K66" s="12" t="n">
        <x:f>'Datos_Brutos'!J66</x:f>
        <x:v>3900</x:v>
      </x:c>
      <x:c r="L66" s="14" t="n">
        <x:f>'Datos_Brutos'!K66</x:f>
        <x:v>0</x:v>
      </x:c>
      <x:c r="M66" t="str">
        <x:f>VLOOKUP('Datos_Brutos'!L66,Listas!$G$2:$H$10,2,FALSE)</x:f>
        <x:v>Completado</x:v>
      </x:c>
      <x:c r="N66" s="12" t="n">
        <x:f>I66*J66</x:f>
        <x:v>19980</x:v>
      </x:c>
      <x:c r="O66" s="12" t="n">
        <x:f>IF(M66="Cancelado",0,N66*(1-L66))</x:f>
        <x:v>19980</x:v>
      </x:c>
      <x:c r="P66" s="12" t="n">
        <x:f>IF(M66="Cancelado",0,I66*K66)</x:f>
        <x:v>7800</x:v>
      </x:c>
      <x:c r="Q66" s="12" t="n">
        <x:f>O66-P66</x:f>
        <x:v>12180</x:v>
      </x:c>
      <x:c r="R66" s="26" t="n">
        <x:f>IF(O66=0,0,Q66/O66)</x:f>
        <x:v>0.6096096096096096</x:v>
      </x:c>
    </x:row>
    <x:row r="67">
      <x:c r="A67" t="str">
        <x:f>'Datos_Brutos'!A67</x:f>
        <x:v>V-0066</x:v>
      </x:c>
      <x:c r="B67" s="10" t="n">
        <x:f>'Datos_Brutos'!B67</x:f>
        <x:v>46110</x:v>
      </x:c>
      <x:c r="C67" t="str">
        <x:f>TEXT(B67,"yyyy-mm")</x:f>
        <x:v>2026-03</x:v>
      </x:c>
      <x:c r="D67" t="str">
        <x:f>'Datos_Brutos'!C67</x:f>
        <x:v>Cliente 072</x:v>
      </x:c>
      <x:c r="E67" t="str">
        <x:f>'Datos_Brutos'!D67</x:f>
        <x:v>Organizador</x:v>
      </x:c>
      <x:c r="F67" t="str">
        <x:f>'Datos_Brutos'!E67</x:f>
        <x:v>Hogar</x:v>
      </x:c>
      <x:c r="G67" t="str">
        <x:f>VLOOKUP('Datos_Brutos'!F67,Listas!$A$2:$B$13,2,FALSE)</x:f>
        <x:v>Biobío</x:v>
      </x:c>
      <x:c r="H67" t="str">
        <x:f>VLOOKUP('Datos_Brutos'!G67,Listas!$D$2:$E$10,2,FALSE)</x:f>
        <x:v>Web</x:v>
      </x:c>
      <x:c r="I67" t="n">
        <x:f>'Datos_Brutos'!H67</x:f>
        <x:v>3</x:v>
      </x:c>
      <x:c r="J67" s="12" t="n">
        <x:f>'Datos_Brutos'!I67</x:f>
        <x:v>14990</x:v>
      </x:c>
      <x:c r="K67" s="12" t="n">
        <x:f>'Datos_Brutos'!J67</x:f>
        <x:v>7200</x:v>
      </x:c>
      <x:c r="L67" s="14" t="n">
        <x:f>'Datos_Brutos'!K67</x:f>
        <x:v>0</x:v>
      </x:c>
      <x:c r="M67" t="str">
        <x:f>VLOOKUP('Datos_Brutos'!L67,Listas!$G$2:$H$10,2,FALSE)</x:f>
        <x:v>Completado</x:v>
      </x:c>
      <x:c r="N67" s="12" t="n">
        <x:f>I67*J67</x:f>
        <x:v>44970</x:v>
      </x:c>
      <x:c r="O67" s="12" t="n">
        <x:f>IF(M67="Cancelado",0,N67*(1-L67))</x:f>
        <x:v>44970</x:v>
      </x:c>
      <x:c r="P67" s="12" t="n">
        <x:f>IF(M67="Cancelado",0,I67*K67)</x:f>
        <x:v>21600</x:v>
      </x:c>
      <x:c r="Q67" s="12" t="n">
        <x:f>O67-P67</x:f>
        <x:v>23370</x:v>
      </x:c>
      <x:c r="R67" s="26" t="n">
        <x:f>IF(O67=0,0,Q67/O67)</x:f>
        <x:v>0.5196797865243495</x:v>
      </x:c>
    </x:row>
    <x:row r="68">
      <x:c r="A68" t="str">
        <x:f>'Datos_Brutos'!A68</x:f>
        <x:v>V-0067</x:v>
      </x:c>
      <x:c r="B68" s="10" t="n">
        <x:f>'Datos_Brutos'!B68</x:f>
        <x:v>46217</x:v>
      </x:c>
      <x:c r="C68" t="str">
        <x:f>TEXT(B68,"yyyy-mm")</x:f>
        <x:v>2026-07</x:v>
      </x:c>
      <x:c r="D68" t="str">
        <x:f>'Datos_Brutos'!C68</x:f>
        <x:v>Cliente 040</x:v>
      </x:c>
      <x:c r="E68" t="str">
        <x:f>'Datos_Brutos'!D68</x:f>
        <x:v>Lámpara</x:v>
      </x:c>
      <x:c r="F68" t="str">
        <x:f>'Datos_Brutos'!E68</x:f>
        <x:v>Hogar</x:v>
      </x:c>
      <x:c r="G68" t="str">
        <x:f>VLOOKUP('Datos_Brutos'!F68,Listas!$A$2:$B$13,2,FALSE)</x:f>
        <x:v>Maule</x:v>
      </x:c>
      <x:c r="H68" t="str">
        <x:f>VLOOKUP('Datos_Brutos'!G68,Listas!$D$2:$E$10,2,FALSE)</x:f>
        <x:v>Instagram</x:v>
      </x:c>
      <x:c r="I68" t="n">
        <x:f>'Datos_Brutos'!H68</x:f>
        <x:v>2</x:v>
      </x:c>
      <x:c r="J68" s="12" t="n">
        <x:f>'Datos_Brutos'!I68</x:f>
        <x:v>21990</x:v>
      </x:c>
      <x:c r="K68" s="12" t="n">
        <x:f>'Datos_Brutos'!J68</x:f>
        <x:v>11000</x:v>
      </x:c>
      <x:c r="L68" s="14" t="n">
        <x:f>'Datos_Brutos'!K68</x:f>
        <x:v>0.05</x:v>
      </x:c>
      <x:c r="M68" t="str">
        <x:f>VLOOKUP('Datos_Brutos'!L68,Listas!$G$2:$H$10,2,FALSE)</x:f>
        <x:v>Completado</x:v>
      </x:c>
      <x:c r="N68" s="12" t="n">
        <x:f>I68*J68</x:f>
        <x:v>43980</x:v>
      </x:c>
      <x:c r="O68" s="12" t="n">
        <x:f>IF(M68="Cancelado",0,N68*(1-L68))</x:f>
        <x:v>41781</x:v>
      </x:c>
      <x:c r="P68" s="12" t="n">
        <x:f>IF(M68="Cancelado",0,I68*K68)</x:f>
        <x:v>22000</x:v>
      </x:c>
      <x:c r="Q68" s="12" t="n">
        <x:f>O68-P68</x:f>
        <x:v>19781</x:v>
      </x:c>
      <x:c r="R68" s="26" t="n">
        <x:f>IF(O68=0,0,Q68/O68)</x:f>
        <x:v>0.47344486728417223</x:v>
      </x:c>
    </x:row>
    <x:row r="69">
      <x:c r="A69" t="str">
        <x:f>'Datos_Brutos'!A69</x:f>
        <x:v>V-0068</x:v>
      </x:c>
      <x:c r="B69" s="10" t="n">
        <x:f>'Datos_Brutos'!B69</x:f>
        <x:v>46192</x:v>
      </x:c>
      <x:c r="C69" t="str">
        <x:f>TEXT(B69,"yyyy-mm")</x:f>
        <x:v>2026-06</x:v>
      </x:c>
      <x:c r="D69" t="str">
        <x:f>'Datos_Brutos'!C69</x:f>
        <x:v>Cliente 040</x:v>
      </x:c>
      <x:c r="E69" t="str">
        <x:f>'Datos_Brutos'!D69</x:f>
        <x:v>Cuaderno premium</x:v>
      </x:c>
      <x:c r="F69" t="str">
        <x:f>'Datos_Brutos'!E69</x:f>
        <x:v>Papelería</x:v>
      </x:c>
      <x:c r="G69" t="str">
        <x:f>VLOOKUP('Datos_Brutos'!F69,Listas!$A$2:$B$13,2,FALSE)</x:f>
        <x:v>Biobío</x:v>
      </x:c>
      <x:c r="H69" t="str">
        <x:f>VLOOKUP('Datos_Brutos'!G69,Listas!$D$2:$E$10,2,FALSE)</x:f>
        <x:v>Marketplace</x:v>
      </x:c>
      <x:c r="I69" t="n">
        <x:f>'Datos_Brutos'!H69</x:f>
        <x:v>1</x:v>
      </x:c>
      <x:c r="J69" s="12" t="n">
        <x:f>'Datos_Brutos'!I69</x:f>
        <x:v>9990</x:v>
      </x:c>
      <x:c r="K69" s="12" t="n">
        <x:f>'Datos_Brutos'!J69</x:f>
        <x:v>3900</x:v>
      </x:c>
      <x:c r="L69" s="14" t="n">
        <x:f>'Datos_Brutos'!K69</x:f>
        <x:v>0</x:v>
      </x:c>
      <x:c r="M69" t="str">
        <x:f>VLOOKUP('Datos_Brutos'!L69,Listas!$G$2:$H$10,2,FALSE)</x:f>
        <x:v>Completado</x:v>
      </x:c>
      <x:c r="N69" s="12" t="n">
        <x:f>I69*J69</x:f>
        <x:v>9990</x:v>
      </x:c>
      <x:c r="O69" s="12" t="n">
        <x:f>IF(M69="Cancelado",0,N69*(1-L69))</x:f>
        <x:v>9990</x:v>
      </x:c>
      <x:c r="P69" s="12" t="n">
        <x:f>IF(M69="Cancelado",0,I69*K69)</x:f>
        <x:v>3900</x:v>
      </x:c>
      <x:c r="Q69" s="12" t="n">
        <x:f>O69-P69</x:f>
        <x:v>6090</x:v>
      </x:c>
      <x:c r="R69" s="26" t="n">
        <x:f>IF(O69=0,0,Q69/O69)</x:f>
        <x:v>0.6096096096096096</x:v>
      </x:c>
    </x:row>
    <x:row r="70">
      <x:c r="A70" t="str">
        <x:f>'Datos_Brutos'!A70</x:f>
        <x:v>V-0069</x:v>
      </x:c>
      <x:c r="B70" s="10" t="n">
        <x:f>'Datos_Brutos'!B70</x:f>
        <x:v>46087</x:v>
      </x:c>
      <x:c r="C70" t="str">
        <x:f>TEXT(B70,"yyyy-mm")</x:f>
        <x:v>2026-03</x:v>
      </x:c>
      <x:c r="D70" t="str">
        <x:f>'Datos_Brutos'!C70</x:f>
        <x:v>Cliente 028</x:v>
      </x:c>
      <x:c r="E70" t="str">
        <x:f>'Datos_Brutos'!D70</x:f>
        <x:v>Lámpara</x:v>
      </x:c>
      <x:c r="F70" t="str">
        <x:f>'Datos_Brutos'!E70</x:f>
        <x:v>Hogar</x:v>
      </x:c>
      <x:c r="G70" t="str">
        <x:f>VLOOKUP('Datos_Brutos'!F70,Listas!$A$2:$B$13,2,FALSE)</x:f>
        <x:v>Valparaíso</x:v>
      </x:c>
      <x:c r="H70" t="str">
        <x:f>VLOOKUP('Datos_Brutos'!G70,Listas!$D$2:$E$10,2,FALSE)</x:f>
        <x:v>Web</x:v>
      </x:c>
      <x:c r="I70" t="n">
        <x:f>'Datos_Brutos'!H70</x:f>
        <x:v>1</x:v>
      </x:c>
      <x:c r="J70" s="12" t="n">
        <x:f>'Datos_Brutos'!I70</x:f>
        <x:v>21990</x:v>
      </x:c>
      <x:c r="K70" s="12" t="n">
        <x:f>'Datos_Brutos'!J70</x:f>
        <x:v>11000</x:v>
      </x:c>
      <x:c r="L70" s="14" t="n">
        <x:f>'Datos_Brutos'!K70</x:f>
        <x:v>0</x:v>
      </x:c>
      <x:c r="M70" t="str">
        <x:f>VLOOKUP('Datos_Brutos'!L70,Listas!$G$2:$H$10,2,FALSE)</x:f>
        <x:v>Cancelado</x:v>
      </x:c>
      <x:c r="N70" s="12" t="n">
        <x:f>I70*J70</x:f>
        <x:v>21990</x:v>
      </x:c>
      <x:c r="O70" s="12" t="n">
        <x:f>IF(M70="Cancelado",0,N70*(1-L70))</x:f>
        <x:v>0</x:v>
      </x:c>
      <x:c r="P70" s="12" t="n">
        <x:f>IF(M70="Cancelado",0,I70*K70)</x:f>
        <x:v>0</x:v>
      </x:c>
      <x:c r="Q70" s="12" t="n">
        <x:f>O70-P70</x:f>
        <x:v>0</x:v>
      </x:c>
      <x:c r="R70" s="26" t="n">
        <x:f>IF(O70=0,0,Q70/O70)</x:f>
        <x:v>0</x:v>
      </x:c>
    </x:row>
    <x:row r="71">
      <x:c r="A71" t="str">
        <x:f>'Datos_Brutos'!A71</x:f>
        <x:v>V-0070</x:v>
      </x:c>
      <x:c r="B71" s="10" t="n">
        <x:f>'Datos_Brutos'!B71</x:f>
        <x:v>46212</x:v>
      </x:c>
      <x:c r="C71" t="str">
        <x:f>TEXT(B71,"yyyy-mm")</x:f>
        <x:v>2026-07</x:v>
      </x:c>
      <x:c r="D71" t="str">
        <x:f>'Datos_Brutos'!C71</x:f>
        <x:v>Cliente 069</x:v>
      </x:c>
      <x:c r="E71" t="str">
        <x:f>'Datos_Brutos'!D71</x:f>
        <x:v>Polerón</x:v>
      </x:c>
      <x:c r="F71" t="str">
        <x:f>'Datos_Brutos'!E71</x:f>
        <x:v>Moda</x:v>
      </x:c>
      <x:c r="G71" t="str">
        <x:f>VLOOKUP('Datos_Brutos'!F71,Listas!$A$2:$B$13,2,FALSE)</x:f>
        <x:v>Biobío</x:v>
      </x:c>
      <x:c r="H71" t="str">
        <x:f>VLOOKUP('Datos_Brutos'!G71,Listas!$D$2:$E$10,2,FALSE)</x:f>
        <x:v>Marketplace</x:v>
      </x:c>
      <x:c r="I71" t="n">
        <x:f>'Datos_Brutos'!H71</x:f>
        <x:v>1</x:v>
      </x:c>
      <x:c r="J71" s="12" t="n">
        <x:f>'Datos_Brutos'!I71</x:f>
        <x:v>29990</x:v>
      </x:c>
      <x:c r="K71" s="12" t="n">
        <x:f>'Datos_Brutos'!J71</x:f>
        <x:v>13500</x:v>
      </x:c>
      <x:c r="L71" s="14" t="n">
        <x:f>'Datos_Brutos'!K71</x:f>
        <x:v>0</x:v>
      </x:c>
      <x:c r="M71" t="str">
        <x:f>VLOOKUP('Datos_Brutos'!L71,Listas!$G$2:$H$10,2,FALSE)</x:f>
        <x:v>Completado</x:v>
      </x:c>
      <x:c r="N71" s="12" t="n">
        <x:f>I71*J71</x:f>
        <x:v>29990</x:v>
      </x:c>
      <x:c r="O71" s="12" t="n">
        <x:f>IF(M71="Cancelado",0,N71*(1-L71))</x:f>
        <x:v>29990</x:v>
      </x:c>
      <x:c r="P71" s="12" t="n">
        <x:f>IF(M71="Cancelado",0,I71*K71)</x:f>
        <x:v>13500</x:v>
      </x:c>
      <x:c r="Q71" s="12" t="n">
        <x:f>O71-P71</x:f>
        <x:v>16490</x:v>
      </x:c>
      <x:c r="R71" s="26" t="n">
        <x:f>IF(O71=0,0,Q71/O71)</x:f>
        <x:v>0.5498499499833278</x:v>
      </x:c>
    </x:row>
    <x:row r="72">
      <x:c r="A72" t="str">
        <x:f>'Datos_Brutos'!A72</x:f>
        <x:v>V-0071</x:v>
      </x:c>
      <x:c r="B72" s="10" t="n">
        <x:f>'Datos_Brutos'!B72</x:f>
        <x:v>46055</x:v>
      </x:c>
      <x:c r="C72" t="str">
        <x:f>TEXT(B72,"yyyy-mm")</x:f>
        <x:v>2026-02</x:v>
      </x:c>
      <x:c r="D72" t="str">
        <x:f>'Datos_Brutos'!C72</x:f>
        <x:v>Cliente 002</x:v>
      </x:c>
      <x:c r="E72" t="str">
        <x:f>'Datos_Brutos'!D72</x:f>
        <x:v>Organizador</x:v>
      </x:c>
      <x:c r="F72" t="str">
        <x:f>'Datos_Brutos'!E72</x:f>
        <x:v>Hogar</x:v>
      </x:c>
      <x:c r="G72" t="str">
        <x:f>VLOOKUP('Datos_Brutos'!F72,Listas!$A$2:$B$13,2,FALSE)</x:f>
        <x:v>Metropolitana</x:v>
      </x:c>
      <x:c r="H72" t="str">
        <x:f>VLOOKUP('Datos_Brutos'!G72,Listas!$D$2:$E$10,2,FALSE)</x:f>
        <x:v>Web</x:v>
      </x:c>
      <x:c r="I72" t="n">
        <x:f>'Datos_Brutos'!H72</x:f>
        <x:v>1</x:v>
      </x:c>
      <x:c r="J72" s="12" t="n">
        <x:f>'Datos_Brutos'!I72</x:f>
        <x:v>14990</x:v>
      </x:c>
      <x:c r="K72" s="12" t="n">
        <x:f>'Datos_Brutos'!J72</x:f>
        <x:v>7200</x:v>
      </x:c>
      <x:c r="L72" s="14" t="n">
        <x:f>'Datos_Brutos'!K72</x:f>
        <x:v>0</x:v>
      </x:c>
      <x:c r="M72" t="str">
        <x:f>VLOOKUP('Datos_Brutos'!L72,Listas!$G$2:$H$10,2,FALSE)</x:f>
        <x:v>Completado</x:v>
      </x:c>
      <x:c r="N72" s="12" t="n">
        <x:f>I72*J72</x:f>
        <x:v>14990</x:v>
      </x:c>
      <x:c r="O72" s="12" t="n">
        <x:f>IF(M72="Cancelado",0,N72*(1-L72))</x:f>
        <x:v>14990</x:v>
      </x:c>
      <x:c r="P72" s="12" t="n">
        <x:f>IF(M72="Cancelado",0,I72*K72)</x:f>
        <x:v>7200</x:v>
      </x:c>
      <x:c r="Q72" s="12" t="n">
        <x:f>O72-P72</x:f>
        <x:v>7790</x:v>
      </x:c>
      <x:c r="R72" s="26" t="n">
        <x:f>IF(O72=0,0,Q72/O72)</x:f>
        <x:v>0.5196797865243495</x:v>
      </x:c>
    </x:row>
    <x:row r="73">
      <x:c r="A73" t="str">
        <x:f>'Datos_Brutos'!A73</x:f>
        <x:v>V-0072</x:v>
      </x:c>
      <x:c r="B73" s="10" t="n">
        <x:f>'Datos_Brutos'!B73</x:f>
        <x:v>46169</x:v>
      </x:c>
      <x:c r="C73" t="str">
        <x:f>TEXT(B73,"yyyy-mm")</x:f>
        <x:v>2026-05</x:v>
      </x:c>
      <x:c r="D73" t="str">
        <x:f>'Datos_Brutos'!C73</x:f>
        <x:v>Cliente 009</x:v>
      </x:c>
      <x:c r="E73" t="str">
        <x:f>'Datos_Brutos'!D73</x:f>
        <x:v>Organizador</x:v>
      </x:c>
      <x:c r="F73" t="str">
        <x:f>'Datos_Brutos'!E73</x:f>
        <x:v>Hogar</x:v>
      </x:c>
      <x:c r="G73" t="str">
        <x:f>VLOOKUP('Datos_Brutos'!F73,Listas!$A$2:$B$13,2,FALSE)</x:f>
        <x:v>Maule</x:v>
      </x:c>
      <x:c r="H73" t="str">
        <x:f>VLOOKUP('Datos_Brutos'!G73,Listas!$D$2:$E$10,2,FALSE)</x:f>
        <x:v>Web</x:v>
      </x:c>
      <x:c r="I73" t="n">
        <x:f>'Datos_Brutos'!H73</x:f>
        <x:v>1</x:v>
      </x:c>
      <x:c r="J73" s="12" t="n">
        <x:f>'Datos_Brutos'!I73</x:f>
        <x:v>14990</x:v>
      </x:c>
      <x:c r="K73" s="12" t="n">
        <x:f>'Datos_Brutos'!J73</x:f>
        <x:v>7200</x:v>
      </x:c>
      <x:c r="L73" s="14" t="n">
        <x:f>'Datos_Brutos'!K73</x:f>
        <x:v>0</x:v>
      </x:c>
      <x:c r="M73" t="str">
        <x:f>VLOOKUP('Datos_Brutos'!L73,Listas!$G$2:$H$10,2,FALSE)</x:f>
        <x:v>Completado</x:v>
      </x:c>
      <x:c r="N73" s="12" t="n">
        <x:f>I73*J73</x:f>
        <x:v>14990</x:v>
      </x:c>
      <x:c r="O73" s="12" t="n">
        <x:f>IF(M73="Cancelado",0,N73*(1-L73))</x:f>
        <x:v>14990</x:v>
      </x:c>
      <x:c r="P73" s="12" t="n">
        <x:f>IF(M73="Cancelado",0,I73*K73)</x:f>
        <x:v>7200</x:v>
      </x:c>
      <x:c r="Q73" s="12" t="n">
        <x:f>O73-P73</x:f>
        <x:v>7790</x:v>
      </x:c>
      <x:c r="R73" s="26" t="n">
        <x:f>IF(O73=0,0,Q73/O73)</x:f>
        <x:v>0.5196797865243495</x:v>
      </x:c>
    </x:row>
    <x:row r="74">
      <x:c r="A74" t="str">
        <x:f>'Datos_Brutos'!A74</x:f>
        <x:v>V-0073</x:v>
      </x:c>
      <x:c r="B74" s="10" t="n">
        <x:f>'Datos_Brutos'!B74</x:f>
        <x:v>46125</x:v>
      </x:c>
      <x:c r="C74" t="str">
        <x:f>TEXT(B74,"yyyy-mm")</x:f>
        <x:v>2026-04</x:v>
      </x:c>
      <x:c r="D74" t="str">
        <x:f>'Datos_Brutos'!C74</x:f>
        <x:v>Cliente 016</x:v>
      </x:c>
      <x:c r="E74" t="str">
        <x:f>'Datos_Brutos'!D74</x:f>
        <x:v>Polerón</x:v>
      </x:c>
      <x:c r="F74" t="str">
        <x:f>'Datos_Brutos'!E74</x:f>
        <x:v>Moda</x:v>
      </x:c>
      <x:c r="G74" t="str">
        <x:f>VLOOKUP('Datos_Brutos'!F74,Listas!$A$2:$B$13,2,FALSE)</x:f>
        <x:v>Metropolitana</x:v>
      </x:c>
      <x:c r="H74" t="str">
        <x:f>VLOOKUP('Datos_Brutos'!G74,Listas!$D$2:$E$10,2,FALSE)</x:f>
        <x:v>Web</x:v>
      </x:c>
      <x:c r="I74" t="n">
        <x:f>'Datos_Brutos'!H74</x:f>
        <x:v>1</x:v>
      </x:c>
      <x:c r="J74" s="12" t="n">
        <x:f>'Datos_Brutos'!I74</x:f>
        <x:v>29990</x:v>
      </x:c>
      <x:c r="K74" s="12" t="n">
        <x:f>'Datos_Brutos'!J74</x:f>
        <x:v>13500</x:v>
      </x:c>
      <x:c r="L74" s="14" t="n">
        <x:f>'Datos_Brutos'!K74</x:f>
        <x:v>0.15</x:v>
      </x:c>
      <x:c r="M74" t="str">
        <x:f>VLOOKUP('Datos_Brutos'!L74,Listas!$G$2:$H$10,2,FALSE)</x:f>
        <x:v>Cancelado</x:v>
      </x:c>
      <x:c r="N74" s="12" t="n">
        <x:f>I74*J74</x:f>
        <x:v>29990</x:v>
      </x:c>
      <x:c r="O74" s="12" t="n">
        <x:f>IF(M74="Cancelado",0,N74*(1-L74))</x:f>
        <x:v>0</x:v>
      </x:c>
      <x:c r="P74" s="12" t="n">
        <x:f>IF(M74="Cancelado",0,I74*K74)</x:f>
        <x:v>0</x:v>
      </x:c>
      <x:c r="Q74" s="12" t="n">
        <x:f>O74-P74</x:f>
        <x:v>0</x:v>
      </x:c>
      <x:c r="R74" s="26" t="n">
        <x:f>IF(O74=0,0,Q74/O74)</x:f>
        <x:v>0</x:v>
      </x:c>
    </x:row>
    <x:row r="75">
      <x:c r="A75" t="str">
        <x:f>'Datos_Brutos'!A75</x:f>
        <x:v>V-0074</x:v>
      </x:c>
      <x:c r="B75" s="10" t="n">
        <x:f>'Datos_Brutos'!B75</x:f>
        <x:v>46165</x:v>
      </x:c>
      <x:c r="C75" t="str">
        <x:f>TEXT(B75,"yyyy-mm")</x:f>
        <x:v>2026-05</x:v>
      </x:c>
      <x:c r="D75" t="str">
        <x:f>'Datos_Brutos'!C75</x:f>
        <x:v>Cliente 040</x:v>
      </x:c>
      <x:c r="E75" t="str">
        <x:f>'Datos_Brutos'!D75</x:f>
        <x:v>Polera básica</x:v>
      </x:c>
      <x:c r="F75" t="str">
        <x:f>'Datos_Brutos'!E75</x:f>
        <x:v>Moda</x:v>
      </x:c>
      <x:c r="G75" t="str">
        <x:f>VLOOKUP('Datos_Brutos'!F75,Listas!$A$2:$B$13,2,FALSE)</x:f>
        <x:v>Valparaíso</x:v>
      </x:c>
      <x:c r="H75" t="str">
        <x:f>VLOOKUP('Datos_Brutos'!G75,Listas!$D$2:$E$10,2,FALSE)</x:f>
        <x:v>Web</x:v>
      </x:c>
      <x:c r="I75" t="n">
        <x:f>'Datos_Brutos'!H75</x:f>
        <x:v>2</x:v>
      </x:c>
      <x:c r="J75" s="12" t="n">
        <x:f>'Datos_Brutos'!I75</x:f>
        <x:v>15990</x:v>
      </x:c>
      <x:c r="K75" s="12" t="n">
        <x:f>'Datos_Brutos'!J75</x:f>
        <x:v>6800</x:v>
      </x:c>
      <x:c r="L75" s="14" t="n">
        <x:f>'Datos_Brutos'!K75</x:f>
        <x:v>0.15</x:v>
      </x:c>
      <x:c r="M75" t="str">
        <x:f>VLOOKUP('Datos_Brutos'!L75,Listas!$G$2:$H$10,2,FALSE)</x:f>
        <x:v>Completado</x:v>
      </x:c>
      <x:c r="N75" s="12" t="n">
        <x:f>I75*J75</x:f>
        <x:v>31980</x:v>
      </x:c>
      <x:c r="O75" s="12" t="n">
        <x:f>IF(M75="Cancelado",0,N75*(1-L75))</x:f>
        <x:v>27183</x:v>
      </x:c>
      <x:c r="P75" s="12" t="n">
        <x:f>IF(M75="Cancelado",0,I75*K75)</x:f>
        <x:v>13600</x:v>
      </x:c>
      <x:c r="Q75" s="12" t="n">
        <x:f>O75-P75</x:f>
        <x:v>13583</x:v>
      </x:c>
      <x:c r="R75" s="26" t="n">
        <x:f>IF(O75=0,0,Q75/O75)</x:f>
        <x:v>0.4996873045653533</x:v>
      </x:c>
    </x:row>
    <x:row r="76">
      <x:c r="A76" t="str">
        <x:f>'Datos_Brutos'!A76</x:f>
        <x:v>V-0075</x:v>
      </x:c>
      <x:c r="B76" s="10" t="n">
        <x:f>'Datos_Brutos'!B76</x:f>
        <x:v>46168</x:v>
      </x:c>
      <x:c r="C76" t="str">
        <x:f>TEXT(B76,"yyyy-mm")</x:f>
        <x:v>2026-05</x:v>
      </x:c>
      <x:c r="D76" t="str">
        <x:f>'Datos_Brutos'!C76</x:f>
        <x:v>Cliente 071</x:v>
      </x:c>
      <x:c r="E76" t="str">
        <x:f>'Datos_Brutos'!D76</x:f>
        <x:v>Cuaderno premium</x:v>
      </x:c>
      <x:c r="F76" t="str">
        <x:f>'Datos_Brutos'!E76</x:f>
        <x:v>Papelería</x:v>
      </x:c>
      <x:c r="G76" t="str">
        <x:f>VLOOKUP('Datos_Brutos'!F76,Listas!$A$2:$B$13,2,FALSE)</x:f>
        <x:v>Metropolitana</x:v>
      </x:c>
      <x:c r="H76" t="str">
        <x:f>VLOOKUP('Datos_Brutos'!G76,Listas!$D$2:$E$10,2,FALSE)</x:f>
        <x:v>Instagram</x:v>
      </x:c>
      <x:c r="I76" t="n">
        <x:f>'Datos_Brutos'!H76</x:f>
        <x:v>1</x:v>
      </x:c>
      <x:c r="J76" s="12" t="n">
        <x:f>'Datos_Brutos'!I76</x:f>
        <x:v>9990</x:v>
      </x:c>
      <x:c r="K76" s="12" t="n">
        <x:f>'Datos_Brutos'!J76</x:f>
        <x:v>3900</x:v>
      </x:c>
      <x:c r="L76" s="14" t="n">
        <x:f>'Datos_Brutos'!K76</x:f>
        <x:v>0</x:v>
      </x:c>
      <x:c r="M76" t="str">
        <x:f>VLOOKUP('Datos_Brutos'!L76,Listas!$G$2:$H$10,2,FALSE)</x:f>
        <x:v>Completado</x:v>
      </x:c>
      <x:c r="N76" s="12" t="n">
        <x:f>I76*J76</x:f>
        <x:v>9990</x:v>
      </x:c>
      <x:c r="O76" s="12" t="n">
        <x:f>IF(M76="Cancelado",0,N76*(1-L76))</x:f>
        <x:v>9990</x:v>
      </x:c>
      <x:c r="P76" s="12" t="n">
        <x:f>IF(M76="Cancelado",0,I76*K76)</x:f>
        <x:v>3900</x:v>
      </x:c>
      <x:c r="Q76" s="12" t="n">
        <x:f>O76-P76</x:f>
        <x:v>6090</x:v>
      </x:c>
      <x:c r="R76" s="26" t="n">
        <x:f>IF(O76=0,0,Q76/O76)</x:f>
        <x:v>0.6096096096096096</x:v>
      </x:c>
    </x:row>
    <x:row r="77">
      <x:c r="A77" t="str">
        <x:f>'Datos_Brutos'!A77</x:f>
        <x:v>V-0076</x:v>
      </x:c>
      <x:c r="B77" s="10" t="n">
        <x:f>'Datos_Brutos'!B77</x:f>
        <x:v>46042</x:v>
      </x:c>
      <x:c r="C77" t="str">
        <x:f>TEXT(B77,"yyyy-mm")</x:f>
        <x:v>2026-01</x:v>
      </x:c>
      <x:c r="D77" t="str">
        <x:f>'Datos_Brutos'!C77</x:f>
        <x:v>Cliente 059</x:v>
      </x:c>
      <x:c r="E77" t="str">
        <x:f>'Datos_Brutos'!D77</x:f>
        <x:v>Mouse</x:v>
      </x:c>
      <x:c r="F77" t="str">
        <x:f>'Datos_Brutos'!E77</x:f>
        <x:v>Tecnología</x:v>
      </x:c>
      <x:c r="G77" t="str">
        <x:f>VLOOKUP('Datos_Brutos'!F77,Listas!$A$2:$B$13,2,FALSE)</x:f>
        <x:v>Maule</x:v>
      </x:c>
      <x:c r="H77" t="str">
        <x:f>VLOOKUP('Datos_Brutos'!G77,Listas!$D$2:$E$10,2,FALSE)</x:f>
        <x:v>Instagram</x:v>
      </x:c>
      <x:c r="I77" t="n">
        <x:f>'Datos_Brutos'!H77</x:f>
        <x:v>1</x:v>
      </x:c>
      <x:c r="J77" s="12" t="n">
        <x:f>'Datos_Brutos'!I77</x:f>
        <x:v>18990</x:v>
      </x:c>
      <x:c r="K77" s="12" t="n">
        <x:f>'Datos_Brutos'!J77</x:f>
        <x:v>9800</x:v>
      </x:c>
      <x:c r="L77" s="14" t="n">
        <x:f>'Datos_Brutos'!K77</x:f>
        <x:v>0.05</x:v>
      </x:c>
      <x:c r="M77" t="str">
        <x:f>VLOOKUP('Datos_Brutos'!L77,Listas!$G$2:$H$10,2,FALSE)</x:f>
        <x:v>Completado</x:v>
      </x:c>
      <x:c r="N77" s="12" t="n">
        <x:f>I77*J77</x:f>
        <x:v>18990</x:v>
      </x:c>
      <x:c r="O77" s="12" t="n">
        <x:f>IF(M77="Cancelado",0,N77*(1-L77))</x:f>
        <x:v>18040.5</x:v>
      </x:c>
      <x:c r="P77" s="12" t="n">
        <x:f>IF(M77="Cancelado",0,I77*K77)</x:f>
        <x:v>9800</x:v>
      </x:c>
      <x:c r="Q77" s="12" t="n">
        <x:f>O77-P77</x:f>
        <x:v>8240.5</x:v>
      </x:c>
      <x:c r="R77" s="26" t="n">
        <x:f>IF(O77=0,0,Q77/O77)</x:f>
        <x:v>0.45677780549319585</x:v>
      </x:c>
    </x:row>
    <x:row r="78">
      <x:c r="A78" t="str">
        <x:f>'Datos_Brutos'!A78</x:f>
        <x:v>V-0077</x:v>
      </x:c>
      <x:c r="B78" s="10" t="n">
        <x:f>'Datos_Brutos'!B78</x:f>
        <x:v>46041</x:v>
      </x:c>
      <x:c r="C78" t="str">
        <x:f>TEXT(B78,"yyyy-mm")</x:f>
        <x:v>2026-01</x:v>
      </x:c>
      <x:c r="D78" t="str">
        <x:f>'Datos_Brutos'!C78</x:f>
        <x:v>Cliente 020</x:v>
      </x:c>
      <x:c r="E78" t="str">
        <x:f>'Datos_Brutos'!D78</x:f>
        <x:v>Planner</x:v>
      </x:c>
      <x:c r="F78" t="str">
        <x:f>'Datos_Brutos'!E78</x:f>
        <x:v>Papelería</x:v>
      </x:c>
      <x:c r="G78" t="str">
        <x:f>VLOOKUP('Datos_Brutos'!F78,Listas!$A$2:$B$13,2,FALSE)</x:f>
        <x:v>Biobío</x:v>
      </x:c>
      <x:c r="H78" t="str">
        <x:f>VLOOKUP('Datos_Brutos'!G78,Listas!$D$2:$E$10,2,FALSE)</x:f>
        <x:v>Instagram</x:v>
      </x:c>
      <x:c r="I78" t="n">
        <x:f>'Datos_Brutos'!H78</x:f>
        <x:v>1</x:v>
      </x:c>
      <x:c r="J78" s="12" t="n">
        <x:f>'Datos_Brutos'!I78</x:f>
        <x:v>12990</x:v>
      </x:c>
      <x:c r="K78" s="12" t="n">
        <x:f>'Datos_Brutos'!J78</x:f>
        <x:v>4800</x:v>
      </x:c>
      <x:c r="L78" s="14" t="n">
        <x:f>'Datos_Brutos'!K78</x:f>
        <x:v>0</x:v>
      </x:c>
      <x:c r="M78" t="str">
        <x:f>VLOOKUP('Datos_Brutos'!L78,Listas!$G$2:$H$10,2,FALSE)</x:f>
        <x:v>Completado</x:v>
      </x:c>
      <x:c r="N78" s="12" t="n">
        <x:f>I78*J78</x:f>
        <x:v>12990</x:v>
      </x:c>
      <x:c r="O78" s="12" t="n">
        <x:f>IF(M78="Cancelado",0,N78*(1-L78))</x:f>
        <x:v>12990</x:v>
      </x:c>
      <x:c r="P78" s="12" t="n">
        <x:f>IF(M78="Cancelado",0,I78*K78)</x:f>
        <x:v>4800</x:v>
      </x:c>
      <x:c r="Q78" s="12" t="n">
        <x:f>O78-P78</x:f>
        <x:v>8190</x:v>
      </x:c>
      <x:c r="R78" s="26" t="n">
        <x:f>IF(O78=0,0,Q78/O78)</x:f>
        <x:v>0.6304849884526559</x:v>
      </x:c>
    </x:row>
    <x:row r="79">
      <x:c r="A79" t="str">
        <x:f>'Datos_Brutos'!A79</x:f>
        <x:v>V-0078</x:v>
      </x:c>
      <x:c r="B79" s="10" t="n">
        <x:f>'Datos_Brutos'!B79</x:f>
        <x:v>46255</x:v>
      </x:c>
      <x:c r="C79" t="str">
        <x:f>TEXT(B79,"yyyy-mm")</x:f>
        <x:v>2026-08</x:v>
      </x:c>
      <x:c r="D79" t="str">
        <x:f>'Datos_Brutos'!C79</x:f>
        <x:v>Cliente 057</x:v>
      </x:c>
      <x:c r="E79" t="str">
        <x:f>'Datos_Brutos'!D79</x:f>
        <x:v>Organizador</x:v>
      </x:c>
      <x:c r="F79" t="str">
        <x:f>'Datos_Brutos'!E79</x:f>
        <x:v>Hogar</x:v>
      </x:c>
      <x:c r="G79" t="str">
        <x:f>VLOOKUP('Datos_Brutos'!F79,Listas!$A$2:$B$13,2,FALSE)</x:f>
        <x:v>Metropolitana</x:v>
      </x:c>
      <x:c r="H79" t="str">
        <x:f>VLOOKUP('Datos_Brutos'!G79,Listas!$D$2:$E$10,2,FALSE)</x:f>
        <x:v>Web</x:v>
      </x:c>
      <x:c r="I79" t="n">
        <x:f>'Datos_Brutos'!H79</x:f>
        <x:v>2</x:v>
      </x:c>
      <x:c r="J79" s="12" t="n">
        <x:f>'Datos_Brutos'!I79</x:f>
        <x:v>14990</x:v>
      </x:c>
      <x:c r="K79" s="12" t="n">
        <x:f>'Datos_Brutos'!J79</x:f>
        <x:v>7200</x:v>
      </x:c>
      <x:c r="L79" s="14" t="n">
        <x:f>'Datos_Brutos'!K79</x:f>
        <x:v>0.1</x:v>
      </x:c>
      <x:c r="M79" t="str">
        <x:f>VLOOKUP('Datos_Brutos'!L79,Listas!$G$2:$H$10,2,FALSE)</x:f>
        <x:v>Completado</x:v>
      </x:c>
      <x:c r="N79" s="12" t="n">
        <x:f>I79*J79</x:f>
        <x:v>29980</x:v>
      </x:c>
      <x:c r="O79" s="12" t="n">
        <x:f>IF(M79="Cancelado",0,N79*(1-L79))</x:f>
        <x:v>26982</x:v>
      </x:c>
      <x:c r="P79" s="12" t="n">
        <x:f>IF(M79="Cancelado",0,I79*K79)</x:f>
        <x:v>14400</x:v>
      </x:c>
      <x:c r="Q79" s="12" t="n">
        <x:f>O79-P79</x:f>
        <x:v>12582</x:v>
      </x:c>
      <x:c r="R79" s="26" t="n">
        <x:f>IF(O79=0,0,Q79/O79)</x:f>
        <x:v>0.46631087391594395</x:v>
      </x:c>
    </x:row>
    <x:row r="80">
      <x:c r="A80" t="str">
        <x:f>'Datos_Brutos'!A80</x:f>
        <x:v>V-0079</x:v>
      </x:c>
      <x:c r="B80" s="10" t="n">
        <x:f>'Datos_Brutos'!B80</x:f>
        <x:v>46054</x:v>
      </x:c>
      <x:c r="C80" t="str">
        <x:f>TEXT(B80,"yyyy-mm")</x:f>
        <x:v>2026-02</x:v>
      </x:c>
      <x:c r="D80" t="str">
        <x:f>'Datos_Brutos'!C80</x:f>
        <x:v>Cliente 056</x:v>
      </x:c>
      <x:c r="E80" t="str">
        <x:f>'Datos_Brutos'!D80</x:f>
        <x:v>Polerón</x:v>
      </x:c>
      <x:c r="F80" t="str">
        <x:f>'Datos_Brutos'!E80</x:f>
        <x:v>Moda</x:v>
      </x:c>
      <x:c r="G80" t="str">
        <x:f>VLOOKUP('Datos_Brutos'!F80,Listas!$A$2:$B$13,2,FALSE)</x:f>
        <x:v>Maule</x:v>
      </x:c>
      <x:c r="H80" t="str">
        <x:f>VLOOKUP('Datos_Brutos'!G80,Listas!$D$2:$E$10,2,FALSE)</x:f>
        <x:v>Web</x:v>
      </x:c>
      <x:c r="I80" t="n">
        <x:f>'Datos_Brutos'!H80</x:f>
        <x:v>2</x:v>
      </x:c>
      <x:c r="J80" s="12" t="n">
        <x:f>'Datos_Brutos'!I80</x:f>
        <x:v>29990</x:v>
      </x:c>
      <x:c r="K80" s="12" t="n">
        <x:f>'Datos_Brutos'!J80</x:f>
        <x:v>13500</x:v>
      </x:c>
      <x:c r="L80" s="14" t="n">
        <x:f>'Datos_Brutos'!K80</x:f>
        <x:v>0</x:v>
      </x:c>
      <x:c r="M80" t="str">
        <x:f>VLOOKUP('Datos_Brutos'!L80,Listas!$G$2:$H$10,2,FALSE)</x:f>
        <x:v>Completado</x:v>
      </x:c>
      <x:c r="N80" s="12" t="n">
        <x:f>I80*J80</x:f>
        <x:v>59980</x:v>
      </x:c>
      <x:c r="O80" s="12" t="n">
        <x:f>IF(M80="Cancelado",0,N80*(1-L80))</x:f>
        <x:v>59980</x:v>
      </x:c>
      <x:c r="P80" s="12" t="n">
        <x:f>IF(M80="Cancelado",0,I80*K80)</x:f>
        <x:v>27000</x:v>
      </x:c>
      <x:c r="Q80" s="12" t="n">
        <x:f>O80-P80</x:f>
        <x:v>32980</x:v>
      </x:c>
      <x:c r="R80" s="26" t="n">
        <x:f>IF(O80=0,0,Q80/O80)</x:f>
        <x:v>0.5498499499833278</x:v>
      </x:c>
    </x:row>
    <x:row r="81">
      <x:c r="A81" t="str">
        <x:f>'Datos_Brutos'!A81</x:f>
        <x:v>V-0080</x:v>
      </x:c>
      <x:c r="B81" s="10" t="n">
        <x:f>'Datos_Brutos'!B81</x:f>
        <x:v>46211</x:v>
      </x:c>
      <x:c r="C81" t="str">
        <x:f>TEXT(B81,"yyyy-mm")</x:f>
        <x:v>2026-07</x:v>
      </x:c>
      <x:c r="D81" t="str">
        <x:f>'Datos_Brutos'!C81</x:f>
        <x:v>Cliente 003</x:v>
      </x:c>
      <x:c r="E81" t="str">
        <x:f>'Datos_Brutos'!D81</x:f>
        <x:v>Botella térmica</x:v>
      </x:c>
      <x:c r="F81" t="str">
        <x:f>'Datos_Brutos'!E81</x:f>
        <x:v>Hogar</x:v>
      </x:c>
      <x:c r="G81" t="str">
        <x:f>VLOOKUP('Datos_Brutos'!F81,Listas!$A$2:$B$13,2,FALSE)</x:f>
        <x:v>Metropolitana</x:v>
      </x:c>
      <x:c r="H81" t="str">
        <x:f>VLOOKUP('Datos_Brutos'!G81,Listas!$D$2:$E$10,2,FALSE)</x:f>
        <x:v>Web</x:v>
      </x:c>
      <x:c r="I81" t="n">
        <x:f>'Datos_Brutos'!H81</x:f>
        <x:v>2</x:v>
      </x:c>
      <x:c r="J81" s="12" t="n">
        <x:f>'Datos_Brutos'!I81</x:f>
        <x:v>17990</x:v>
      </x:c>
      <x:c r="K81" s="12" t="n">
        <x:f>'Datos_Brutos'!J81</x:f>
        <x:v>8300</x:v>
      </x:c>
      <x:c r="L81" s="14" t="n">
        <x:f>'Datos_Brutos'!K81</x:f>
        <x:v>0.05</x:v>
      </x:c>
      <x:c r="M81" t="str">
        <x:f>VLOOKUP('Datos_Brutos'!L81,Listas!$G$2:$H$10,2,FALSE)</x:f>
        <x:v>Pendiente</x:v>
      </x:c>
      <x:c r="N81" s="12" t="n">
        <x:f>I81*J81</x:f>
        <x:v>35980</x:v>
      </x:c>
      <x:c r="O81" s="12" t="n">
        <x:f>IF(M81="Cancelado",0,N81*(1-L81))</x:f>
        <x:v>34181</x:v>
      </x:c>
      <x:c r="P81" s="12" t="n">
        <x:f>IF(M81="Cancelado",0,I81*K81)</x:f>
        <x:v>16600</x:v>
      </x:c>
      <x:c r="Q81" s="12" t="n">
        <x:f>O81-P81</x:f>
        <x:v>17581</x:v>
      </x:c>
      <x:c r="R81" s="26" t="n">
        <x:f>IF(O81=0,0,Q81/O81)</x:f>
        <x:v>0.5143500775284515</x:v>
      </x:c>
    </x:row>
    <x:row r="82">
      <x:c r="A82" t="str">
        <x:f>'Datos_Brutos'!A82</x:f>
        <x:v>V-0081</x:v>
      </x:c>
      <x:c r="B82" s="10" t="n">
        <x:f>'Datos_Brutos'!B82</x:f>
        <x:v>46218</x:v>
      </x:c>
      <x:c r="C82" t="str">
        <x:f>TEXT(B82,"yyyy-mm")</x:f>
        <x:v>2026-07</x:v>
      </x:c>
      <x:c r="D82" t="str">
        <x:f>'Datos_Brutos'!C82</x:f>
        <x:v>Cliente 075</x:v>
      </x:c>
      <x:c r="E82" t="str">
        <x:f>'Datos_Brutos'!D82</x:f>
        <x:v>Planner</x:v>
      </x:c>
      <x:c r="F82" t="str">
        <x:f>'Datos_Brutos'!E82</x:f>
        <x:v>Papelería</x:v>
      </x:c>
      <x:c r="G82" t="str">
        <x:f>VLOOKUP('Datos_Brutos'!F82,Listas!$A$2:$B$13,2,FALSE)</x:f>
        <x:v>Metropolitana</x:v>
      </x:c>
      <x:c r="H82" t="str">
        <x:f>VLOOKUP('Datos_Brutos'!G82,Listas!$D$2:$E$10,2,FALSE)</x:f>
        <x:v>Web</x:v>
      </x:c>
      <x:c r="I82" t="n">
        <x:f>'Datos_Brutos'!H82</x:f>
        <x:v>2</x:v>
      </x:c>
      <x:c r="J82" s="12" t="n">
        <x:f>'Datos_Brutos'!I82</x:f>
        <x:v>12990</x:v>
      </x:c>
      <x:c r="K82" s="12" t="n">
        <x:f>'Datos_Brutos'!J82</x:f>
        <x:v>4800</x:v>
      </x:c>
      <x:c r="L82" s="14" t="n">
        <x:f>'Datos_Brutos'!K82</x:f>
        <x:v>0</x:v>
      </x:c>
      <x:c r="M82" t="str">
        <x:f>VLOOKUP('Datos_Brutos'!L82,Listas!$G$2:$H$10,2,FALSE)</x:f>
        <x:v>Completado</x:v>
      </x:c>
      <x:c r="N82" s="12" t="n">
        <x:f>I82*J82</x:f>
        <x:v>25980</x:v>
      </x:c>
      <x:c r="O82" s="12" t="n">
        <x:f>IF(M82="Cancelado",0,N82*(1-L82))</x:f>
        <x:v>25980</x:v>
      </x:c>
      <x:c r="P82" s="12" t="n">
        <x:f>IF(M82="Cancelado",0,I82*K82)</x:f>
        <x:v>9600</x:v>
      </x:c>
      <x:c r="Q82" s="12" t="n">
        <x:f>O82-P82</x:f>
        <x:v>16380</x:v>
      </x:c>
      <x:c r="R82" s="26" t="n">
        <x:f>IF(O82=0,0,Q82/O82)</x:f>
        <x:v>0.6304849884526559</x:v>
      </x:c>
    </x:row>
    <x:row r="83">
      <x:c r="A83" t="str">
        <x:f>'Datos_Brutos'!A83</x:f>
        <x:v>V-0082</x:v>
      </x:c>
      <x:c r="B83" s="10" t="n">
        <x:f>'Datos_Brutos'!B83</x:f>
        <x:v>46134</x:v>
      </x:c>
      <x:c r="C83" t="str">
        <x:f>TEXT(B83,"yyyy-mm")</x:f>
        <x:v>2026-04</x:v>
      </x:c>
      <x:c r="D83" t="str">
        <x:f>'Datos_Brutos'!C83</x:f>
        <x:v>Cliente 043</x:v>
      </x:c>
      <x:c r="E83" t="str">
        <x:f>'Datos_Brutos'!D83</x:f>
        <x:v>Planner</x:v>
      </x:c>
      <x:c r="F83" t="str">
        <x:f>'Datos_Brutos'!E83</x:f>
        <x:v>Papelería</x:v>
      </x:c>
      <x:c r="G83" t="str">
        <x:f>VLOOKUP('Datos_Brutos'!F83,Listas!$A$2:$B$13,2,FALSE)</x:f>
        <x:v>Metropolitana</x:v>
      </x:c>
      <x:c r="H83" t="str">
        <x:f>VLOOKUP('Datos_Brutos'!G83,Listas!$D$2:$E$10,2,FALSE)</x:f>
        <x:v>Web</x:v>
      </x:c>
      <x:c r="I83" t="n">
        <x:f>'Datos_Brutos'!H83</x:f>
        <x:v>2</x:v>
      </x:c>
      <x:c r="J83" s="12" t="n">
        <x:f>'Datos_Brutos'!I83</x:f>
        <x:v>12990</x:v>
      </x:c>
      <x:c r="K83" s="12" t="n">
        <x:f>'Datos_Brutos'!J83</x:f>
        <x:v>4800</x:v>
      </x:c>
      <x:c r="L83" s="14" t="n">
        <x:f>'Datos_Brutos'!K83</x:f>
        <x:v>0.1</x:v>
      </x:c>
      <x:c r="M83" t="str">
        <x:f>VLOOKUP('Datos_Brutos'!L83,Listas!$G$2:$H$10,2,FALSE)</x:f>
        <x:v>Completado</x:v>
      </x:c>
      <x:c r="N83" s="12" t="n">
        <x:f>I83*J83</x:f>
        <x:v>25980</x:v>
      </x:c>
      <x:c r="O83" s="12" t="n">
        <x:f>IF(M83="Cancelado",0,N83*(1-L83))</x:f>
        <x:v>23382</x:v>
      </x:c>
      <x:c r="P83" s="12" t="n">
        <x:f>IF(M83="Cancelado",0,I83*K83)</x:f>
        <x:v>9600</x:v>
      </x:c>
      <x:c r="Q83" s="12" t="n">
        <x:f>O83-P83</x:f>
        <x:v>13782</x:v>
      </x:c>
      <x:c r="R83" s="26" t="n">
        <x:f>IF(O83=0,0,Q83/O83)</x:f>
        <x:v>0.5894277649473955</x:v>
      </x:c>
    </x:row>
    <x:row r="84">
      <x:c r="A84" t="str">
        <x:f>'Datos_Brutos'!A84</x:f>
        <x:v>V-0083</x:v>
      </x:c>
      <x:c r="B84" s="10" t="n">
        <x:f>'Datos_Brutos'!B84</x:f>
        <x:v>46128</x:v>
      </x:c>
      <x:c r="C84" t="str">
        <x:f>TEXT(B84,"yyyy-mm")</x:f>
        <x:v>2026-04</x:v>
      </x:c>
      <x:c r="D84" t="str">
        <x:f>'Datos_Brutos'!C84</x:f>
        <x:v>Cliente 052</x:v>
      </x:c>
      <x:c r="E84" t="str">
        <x:f>'Datos_Brutos'!D84</x:f>
        <x:v>Set de lápices</x:v>
      </x:c>
      <x:c r="F84" t="str">
        <x:f>'Datos_Brutos'!E84</x:f>
        <x:v>Papelería</x:v>
      </x:c>
      <x:c r="G84" t="str">
        <x:f>VLOOKUP('Datos_Brutos'!F84,Listas!$A$2:$B$13,2,FALSE)</x:f>
        <x:v>Maule</x:v>
      </x:c>
      <x:c r="H84" t="str">
        <x:f>VLOOKUP('Datos_Brutos'!G84,Listas!$D$2:$E$10,2,FALSE)</x:f>
        <x:v>Web</x:v>
      </x:c>
      <x:c r="I84" t="n">
        <x:f>'Datos_Brutos'!H84</x:f>
        <x:v>1</x:v>
      </x:c>
      <x:c r="J84" s="12" t="n">
        <x:f>'Datos_Brutos'!I84</x:f>
        <x:v>7990</x:v>
      </x:c>
      <x:c r="K84" s="12" t="n">
        <x:f>'Datos_Brutos'!J84</x:f>
        <x:v>2600</x:v>
      </x:c>
      <x:c r="L84" s="14" t="n">
        <x:f>'Datos_Brutos'!K84</x:f>
        <x:v>0</x:v>
      </x:c>
      <x:c r="M84" t="str">
        <x:f>VLOOKUP('Datos_Brutos'!L84,Listas!$G$2:$H$10,2,FALSE)</x:f>
        <x:v>Completado</x:v>
      </x:c>
      <x:c r="N84" s="12" t="n">
        <x:f>I84*J84</x:f>
        <x:v>7990</x:v>
      </x:c>
      <x:c r="O84" s="12" t="n">
        <x:f>IF(M84="Cancelado",0,N84*(1-L84))</x:f>
        <x:v>7990</x:v>
      </x:c>
      <x:c r="P84" s="12" t="n">
        <x:f>IF(M84="Cancelado",0,I84*K84)</x:f>
        <x:v>2600</x:v>
      </x:c>
      <x:c r="Q84" s="12" t="n">
        <x:f>O84-P84</x:f>
        <x:v>5390</x:v>
      </x:c>
      <x:c r="R84" s="26" t="n">
        <x:f>IF(O84=0,0,Q84/O84)</x:f>
        <x:v>0.6745932415519399</x:v>
      </x:c>
    </x:row>
    <x:row r="85">
      <x:c r="A85" t="str">
        <x:f>'Datos_Brutos'!A85</x:f>
        <x:v>V-0084</x:v>
      </x:c>
      <x:c r="B85" s="10" t="n">
        <x:f>'Datos_Brutos'!B85</x:f>
        <x:v>46244</x:v>
      </x:c>
      <x:c r="C85" t="str">
        <x:f>TEXT(B85,"yyyy-mm")</x:f>
        <x:v>2026-08</x:v>
      </x:c>
      <x:c r="D85" t="str">
        <x:f>'Datos_Brutos'!C85</x:f>
        <x:v>Cliente 064</x:v>
      </x:c>
      <x:c r="E85" t="str">
        <x:f>'Datos_Brutos'!D85</x:f>
        <x:v>Mochila</x:v>
      </x:c>
      <x:c r="F85" t="str">
        <x:f>'Datos_Brutos'!E85</x:f>
        <x:v>Moda</x:v>
      </x:c>
      <x:c r="G85" t="str">
        <x:f>VLOOKUP('Datos_Brutos'!F85,Listas!$A$2:$B$13,2,FALSE)</x:f>
        <x:v>Metropolitana</x:v>
      </x:c>
      <x:c r="H85" t="str">
        <x:f>VLOOKUP('Datos_Brutos'!G85,Listas!$D$2:$E$10,2,FALSE)</x:f>
        <x:v>Marketplace</x:v>
      </x:c>
      <x:c r="I85" t="n">
        <x:f>'Datos_Brutos'!H85</x:f>
        <x:v>2</x:v>
      </x:c>
      <x:c r="J85" s="12" t="n">
        <x:f>'Datos_Brutos'!I85</x:f>
        <x:v>26990</x:v>
      </x:c>
      <x:c r="K85" s="12" t="n">
        <x:f>'Datos_Brutos'!J85</x:f>
        <x:v>12000</x:v>
      </x:c>
      <x:c r="L85" s="14" t="n">
        <x:f>'Datos_Brutos'!K85</x:f>
        <x:v>0</x:v>
      </x:c>
      <x:c r="M85" t="str">
        <x:f>VLOOKUP('Datos_Brutos'!L85,Listas!$G$2:$H$10,2,FALSE)</x:f>
        <x:v>Completado</x:v>
      </x:c>
      <x:c r="N85" s="12" t="n">
        <x:f>I85*J85</x:f>
        <x:v>53980</x:v>
      </x:c>
      <x:c r="O85" s="12" t="n">
        <x:f>IF(M85="Cancelado",0,N85*(1-L85))</x:f>
        <x:v>53980</x:v>
      </x:c>
      <x:c r="P85" s="12" t="n">
        <x:f>IF(M85="Cancelado",0,I85*K85)</x:f>
        <x:v>24000</x:v>
      </x:c>
      <x:c r="Q85" s="12" t="n">
        <x:f>O85-P85</x:f>
        <x:v>29980</x:v>
      </x:c>
      <x:c r="R85" s="26" t="n">
        <x:f>IF(O85=0,0,Q85/O85)</x:f>
        <x:v>0.555390885513153</x:v>
      </x:c>
    </x:row>
    <x:row r="86">
      <x:c r="A86" t="str">
        <x:f>'Datos_Brutos'!A86</x:f>
        <x:v>V-0085</x:v>
      </x:c>
      <x:c r="B86" s="10" t="n">
        <x:f>'Datos_Brutos'!B86</x:f>
        <x:v>46183</x:v>
      </x:c>
      <x:c r="C86" t="str">
        <x:f>TEXT(B86,"yyyy-mm")</x:f>
        <x:v>2026-06</x:v>
      </x:c>
      <x:c r="D86" t="str">
        <x:f>'Datos_Brutos'!C86</x:f>
        <x:v>Cliente 004</x:v>
      </x:c>
      <x:c r="E86" t="str">
        <x:f>'Datos_Brutos'!D86</x:f>
        <x:v>Polerón</x:v>
      </x:c>
      <x:c r="F86" t="str">
        <x:f>'Datos_Brutos'!E86</x:f>
        <x:v>Moda</x:v>
      </x:c>
      <x:c r="G86" t="str">
        <x:f>VLOOKUP('Datos_Brutos'!F86,Listas!$A$2:$B$13,2,FALSE)</x:f>
        <x:v>Valparaíso</x:v>
      </x:c>
      <x:c r="H86" t="str">
        <x:f>VLOOKUP('Datos_Brutos'!G86,Listas!$D$2:$E$10,2,FALSE)</x:f>
        <x:v>Web</x:v>
      </x:c>
      <x:c r="I86" t="n">
        <x:f>'Datos_Brutos'!H86</x:f>
        <x:v>2</x:v>
      </x:c>
      <x:c r="J86" s="12" t="n">
        <x:f>'Datos_Brutos'!I86</x:f>
        <x:v>29990</x:v>
      </x:c>
      <x:c r="K86" s="12" t="n">
        <x:f>'Datos_Brutos'!J86</x:f>
        <x:v>13500</x:v>
      </x:c>
      <x:c r="L86" s="14" t="n">
        <x:f>'Datos_Brutos'!K86</x:f>
        <x:v>0</x:v>
      </x:c>
      <x:c r="M86" t="str">
        <x:f>VLOOKUP('Datos_Brutos'!L86,Listas!$G$2:$H$10,2,FALSE)</x:f>
        <x:v>Completado</x:v>
      </x:c>
      <x:c r="N86" s="12" t="n">
        <x:f>I86*J86</x:f>
        <x:v>59980</x:v>
      </x:c>
      <x:c r="O86" s="12" t="n">
        <x:f>IF(M86="Cancelado",0,N86*(1-L86))</x:f>
        <x:v>59980</x:v>
      </x:c>
      <x:c r="P86" s="12" t="n">
        <x:f>IF(M86="Cancelado",0,I86*K86)</x:f>
        <x:v>27000</x:v>
      </x:c>
      <x:c r="Q86" s="12" t="n">
        <x:f>O86-P86</x:f>
        <x:v>32980</x:v>
      </x:c>
      <x:c r="R86" s="26" t="n">
        <x:f>IF(O86=0,0,Q86/O86)</x:f>
        <x:v>0.5498499499833278</x:v>
      </x:c>
    </x:row>
    <x:row r="87">
      <x:c r="A87" t="str">
        <x:f>'Datos_Brutos'!A87</x:f>
        <x:v>V-0086</x:v>
      </x:c>
      <x:c r="B87" s="10" t="n">
        <x:f>'Datos_Brutos'!B87</x:f>
        <x:v>46184</x:v>
      </x:c>
      <x:c r="C87" t="str">
        <x:f>TEXT(B87,"yyyy-mm")</x:f>
        <x:v>2026-06</x:v>
      </x:c>
      <x:c r="D87" t="str">
        <x:f>'Datos_Brutos'!C87</x:f>
        <x:v>Cliente 015</x:v>
      </x:c>
      <x:c r="E87" t="str">
        <x:f>'Datos_Brutos'!D87</x:f>
        <x:v>Cuaderno premium</x:v>
      </x:c>
      <x:c r="F87" t="str">
        <x:f>'Datos_Brutos'!E87</x:f>
        <x:v>Papelería</x:v>
      </x:c>
      <x:c r="G87" t="str">
        <x:f>VLOOKUP('Datos_Brutos'!F87,Listas!$A$2:$B$13,2,FALSE)</x:f>
        <x:v>Valparaíso</x:v>
      </x:c>
      <x:c r="H87" t="str">
        <x:f>VLOOKUP('Datos_Brutos'!G87,Listas!$D$2:$E$10,2,FALSE)</x:f>
        <x:v>Instagram</x:v>
      </x:c>
      <x:c r="I87" t="n">
        <x:f>'Datos_Brutos'!H87</x:f>
        <x:v>2</x:v>
      </x:c>
      <x:c r="J87" s="12" t="n">
        <x:f>'Datos_Brutos'!I87</x:f>
        <x:v>9990</x:v>
      </x:c>
      <x:c r="K87" s="12" t="n">
        <x:f>'Datos_Brutos'!J87</x:f>
        <x:v>3900</x:v>
      </x:c>
      <x:c r="L87" s="14" t="n">
        <x:f>'Datos_Brutos'!K87</x:f>
        <x:v>0.15</x:v>
      </x:c>
      <x:c r="M87" t="str">
        <x:f>VLOOKUP('Datos_Brutos'!L87,Listas!$G$2:$H$10,2,FALSE)</x:f>
        <x:v>Completado</x:v>
      </x:c>
      <x:c r="N87" s="12" t="n">
        <x:f>I87*J87</x:f>
        <x:v>19980</x:v>
      </x:c>
      <x:c r="O87" s="12" t="n">
        <x:f>IF(M87="Cancelado",0,N87*(1-L87))</x:f>
        <x:v>16983</x:v>
      </x:c>
      <x:c r="P87" s="12" t="n">
        <x:f>IF(M87="Cancelado",0,I87*K87)</x:f>
        <x:v>7800</x:v>
      </x:c>
      <x:c r="Q87" s="12" t="n">
        <x:f>O87-P87</x:f>
        <x:v>9183</x:v>
      </x:c>
      <x:c r="R87" s="26" t="n">
        <x:f>IF(O87=0,0,Q87/O87)</x:f>
        <x:v>0.5407171877760113</x:v>
      </x:c>
    </x:row>
    <x:row r="88">
      <x:c r="A88" t="str">
        <x:f>'Datos_Brutos'!A88</x:f>
        <x:v>V-0087</x:v>
      </x:c>
      <x:c r="B88" s="10" t="n">
        <x:f>'Datos_Brutos'!B88</x:f>
        <x:v>46141</x:v>
      </x:c>
      <x:c r="C88" t="str">
        <x:f>TEXT(B88,"yyyy-mm")</x:f>
        <x:v>2026-04</x:v>
      </x:c>
      <x:c r="D88" t="str">
        <x:f>'Datos_Brutos'!C88</x:f>
        <x:v>Cliente 062</x:v>
      </x:c>
      <x:c r="E88" t="str">
        <x:f>'Datos_Brutos'!D88</x:f>
        <x:v>Teclado</x:v>
      </x:c>
      <x:c r="F88" t="str">
        <x:f>'Datos_Brutos'!E88</x:f>
        <x:v>Tecnología</x:v>
      </x:c>
      <x:c r="G88" t="str">
        <x:f>VLOOKUP('Datos_Brutos'!F88,Listas!$A$2:$B$13,2,FALSE)</x:f>
        <x:v>Valparaíso</x:v>
      </x:c>
      <x:c r="H88" t="str">
        <x:f>VLOOKUP('Datos_Brutos'!G88,Listas!$D$2:$E$10,2,FALSE)</x:f>
        <x:v>Marketplace</x:v>
      </x:c>
      <x:c r="I88" t="n">
        <x:f>'Datos_Brutos'!H88</x:f>
        <x:v>2</x:v>
      </x:c>
      <x:c r="J88" s="12" t="n">
        <x:f>'Datos_Brutos'!I88</x:f>
        <x:v>32990</x:v>
      </x:c>
      <x:c r="K88" s="12" t="n">
        <x:f>'Datos_Brutos'!J88</x:f>
        <x:v>18500</x:v>
      </x:c>
      <x:c r="L88" s="14" t="n">
        <x:f>'Datos_Brutos'!K88</x:f>
        <x:v>0</x:v>
      </x:c>
      <x:c r="M88" t="str">
        <x:f>VLOOKUP('Datos_Brutos'!L88,Listas!$G$2:$H$10,2,FALSE)</x:f>
        <x:v>Completado</x:v>
      </x:c>
      <x:c r="N88" s="12" t="n">
        <x:f>I88*J88</x:f>
        <x:v>65980</x:v>
      </x:c>
      <x:c r="O88" s="12" t="n">
        <x:f>IF(M88="Cancelado",0,N88*(1-L88))</x:f>
        <x:v>65980</x:v>
      </x:c>
      <x:c r="P88" s="12" t="n">
        <x:f>IF(M88="Cancelado",0,I88*K88)</x:f>
        <x:v>37000</x:v>
      </x:c>
      <x:c r="Q88" s="12" t="n">
        <x:f>O88-P88</x:f>
        <x:v>28980</x:v>
      </x:c>
      <x:c r="R88" s="26" t="n">
        <x:f>IF(O88=0,0,Q88/O88)</x:f>
        <x:v>0.43922400727493177</x:v>
      </x:c>
    </x:row>
    <x:row r="89">
      <x:c r="A89" t="str">
        <x:f>'Datos_Brutos'!A89</x:f>
        <x:v>V-0088</x:v>
      </x:c>
      <x:c r="B89" s="10" t="n">
        <x:f>'Datos_Brutos'!B89</x:f>
        <x:v>46143</x:v>
      </x:c>
      <x:c r="C89" t="str">
        <x:f>TEXT(B89,"yyyy-mm")</x:f>
        <x:v>2026-05</x:v>
      </x:c>
      <x:c r="D89" t="str">
        <x:f>'Datos_Brutos'!C89</x:f>
        <x:v>Cliente 036</x:v>
      </x:c>
      <x:c r="E89" t="str">
        <x:f>'Datos_Brutos'!D89</x:f>
        <x:v>Lámpara</x:v>
      </x:c>
      <x:c r="F89" t="str">
        <x:f>'Datos_Brutos'!E89</x:f>
        <x:v>Hogar</x:v>
      </x:c>
      <x:c r="G89" t="str">
        <x:f>VLOOKUP('Datos_Brutos'!F89,Listas!$A$2:$B$13,2,FALSE)</x:f>
        <x:v>Valparaíso</x:v>
      </x:c>
      <x:c r="H89" t="str">
        <x:f>VLOOKUP('Datos_Brutos'!G89,Listas!$D$2:$E$10,2,FALSE)</x:f>
        <x:v>Web</x:v>
      </x:c>
      <x:c r="I89" t="n">
        <x:f>'Datos_Brutos'!H89</x:f>
        <x:v>1</x:v>
      </x:c>
      <x:c r="J89" s="12" t="n">
        <x:f>'Datos_Brutos'!I89</x:f>
        <x:v>21990</x:v>
      </x:c>
      <x:c r="K89" s="12" t="n">
        <x:f>'Datos_Brutos'!J89</x:f>
        <x:v>11000</x:v>
      </x:c>
      <x:c r="L89" s="14" t="n">
        <x:f>'Datos_Brutos'!K89</x:f>
        <x:v>0.1</x:v>
      </x:c>
      <x:c r="M89" t="str">
        <x:f>VLOOKUP('Datos_Brutos'!L89,Listas!$G$2:$H$10,2,FALSE)</x:f>
        <x:v>Completado</x:v>
      </x:c>
      <x:c r="N89" s="12" t="n">
        <x:f>I89*J89</x:f>
        <x:v>21990</x:v>
      </x:c>
      <x:c r="O89" s="12" t="n">
        <x:f>IF(M89="Cancelado",0,N89*(1-L89))</x:f>
        <x:v>19791</x:v>
      </x:c>
      <x:c r="P89" s="12" t="n">
        <x:f>IF(M89="Cancelado",0,I89*K89)</x:f>
        <x:v>11000</x:v>
      </x:c>
      <x:c r="Q89" s="12" t="n">
        <x:f>O89-P89</x:f>
        <x:v>8791</x:v>
      </x:c>
      <x:c r="R89" s="26" t="n">
        <x:f>IF(O89=0,0,Q89/O89)</x:f>
        <x:v>0.44419180435551514</x:v>
      </x:c>
    </x:row>
    <x:row r="90">
      <x:c r="A90" t="str">
        <x:f>'Datos_Brutos'!A90</x:f>
        <x:v>V-0089</x:v>
      </x:c>
      <x:c r="B90" s="10" t="n">
        <x:f>'Datos_Brutos'!B90</x:f>
        <x:v>46220</x:v>
      </x:c>
      <x:c r="C90" t="str">
        <x:f>TEXT(B90,"yyyy-mm")</x:f>
        <x:v>2026-07</x:v>
      </x:c>
      <x:c r="D90" t="str">
        <x:f>'Datos_Brutos'!C90</x:f>
        <x:v>Cliente 063</x:v>
      </x:c>
      <x:c r="E90" t="str">
        <x:f>'Datos_Brutos'!D90</x:f>
        <x:v>Polera básica</x:v>
      </x:c>
      <x:c r="F90" t="str">
        <x:f>'Datos_Brutos'!E90</x:f>
        <x:v>Moda</x:v>
      </x:c>
      <x:c r="G90" t="str">
        <x:f>VLOOKUP('Datos_Brutos'!F90,Listas!$A$2:$B$13,2,FALSE)</x:f>
        <x:v>Biobío</x:v>
      </x:c>
      <x:c r="H90" t="str">
        <x:f>VLOOKUP('Datos_Brutos'!G90,Listas!$D$2:$E$10,2,FALSE)</x:f>
        <x:v>Web</x:v>
      </x:c>
      <x:c r="I90" t="n">
        <x:f>'Datos_Brutos'!H90</x:f>
        <x:v>1</x:v>
      </x:c>
      <x:c r="J90" s="12" t="n">
        <x:f>'Datos_Brutos'!I90</x:f>
        <x:v>15990</x:v>
      </x:c>
      <x:c r="K90" s="12" t="n">
        <x:f>'Datos_Brutos'!J90</x:f>
        <x:v>6800</x:v>
      </x:c>
      <x:c r="L90" s="14" t="n">
        <x:f>'Datos_Brutos'!K90</x:f>
        <x:v>0.15</x:v>
      </x:c>
      <x:c r="M90" t="str">
        <x:f>VLOOKUP('Datos_Brutos'!L90,Listas!$G$2:$H$10,2,FALSE)</x:f>
        <x:v>Pendiente</x:v>
      </x:c>
      <x:c r="N90" s="12" t="n">
        <x:f>I90*J90</x:f>
        <x:v>15990</x:v>
      </x:c>
      <x:c r="O90" s="12" t="n">
        <x:f>IF(M90="Cancelado",0,N90*(1-L90))</x:f>
        <x:v>13591.5</x:v>
      </x:c>
      <x:c r="P90" s="12" t="n">
        <x:f>IF(M90="Cancelado",0,I90*K90)</x:f>
        <x:v>6800</x:v>
      </x:c>
      <x:c r="Q90" s="12" t="n">
        <x:f>O90-P90</x:f>
        <x:v>6791.5</x:v>
      </x:c>
      <x:c r="R90" s="26" t="n">
        <x:f>IF(O90=0,0,Q90/O90)</x:f>
        <x:v>0.4996873045653533</x:v>
      </x:c>
    </x:row>
    <x:row r="91">
      <x:c r="A91" t="str">
        <x:f>'Datos_Brutos'!A91</x:f>
        <x:v>V-0090</x:v>
      </x:c>
      <x:c r="B91" s="10" t="n">
        <x:f>'Datos_Brutos'!B91</x:f>
        <x:v>46244</x:v>
      </x:c>
      <x:c r="C91" t="str">
        <x:f>TEXT(B91,"yyyy-mm")</x:f>
        <x:v>2026-08</x:v>
      </x:c>
      <x:c r="D91" t="str">
        <x:f>'Datos_Brutos'!C91</x:f>
        <x:v>Cliente 031</x:v>
      </x:c>
      <x:c r="E91" t="str">
        <x:f>'Datos_Brutos'!D91</x:f>
        <x:v>Mouse</x:v>
      </x:c>
      <x:c r="F91" t="str">
        <x:f>'Datos_Brutos'!E91</x:f>
        <x:v>Tecnología</x:v>
      </x:c>
      <x:c r="G91" t="str">
        <x:f>VLOOKUP('Datos_Brutos'!F91,Listas!$A$2:$B$13,2,FALSE)</x:f>
        <x:v>Maule</x:v>
      </x:c>
      <x:c r="H91" t="str">
        <x:f>VLOOKUP('Datos_Brutos'!G91,Listas!$D$2:$E$10,2,FALSE)</x:f>
        <x:v>Web</x:v>
      </x:c>
      <x:c r="I91" t="n">
        <x:f>'Datos_Brutos'!H91</x:f>
        <x:v>1</x:v>
      </x:c>
      <x:c r="J91" s="12" t="n">
        <x:f>'Datos_Brutos'!I91</x:f>
        <x:v>18990</x:v>
      </x:c>
      <x:c r="K91" s="12" t="n">
        <x:f>'Datos_Brutos'!J91</x:f>
        <x:v>9800</x:v>
      </x:c>
      <x:c r="L91" s="14" t="n">
        <x:f>'Datos_Brutos'!K91</x:f>
        <x:v>0.1</x:v>
      </x:c>
      <x:c r="M91" t="str">
        <x:f>VLOOKUP('Datos_Brutos'!L91,Listas!$G$2:$H$10,2,FALSE)</x:f>
        <x:v>Completado</x:v>
      </x:c>
      <x:c r="N91" s="12" t="n">
        <x:f>I91*J91</x:f>
        <x:v>18990</x:v>
      </x:c>
      <x:c r="O91" s="12" t="n">
        <x:f>IF(M91="Cancelado",0,N91*(1-L91))</x:f>
        <x:v>17091</x:v>
      </x:c>
      <x:c r="P91" s="12" t="n">
        <x:f>IF(M91="Cancelado",0,I91*K91)</x:f>
        <x:v>9800</x:v>
      </x:c>
      <x:c r="Q91" s="12" t="n">
        <x:f>O91-P91</x:f>
        <x:v>7291</x:v>
      </x:c>
      <x:c r="R91" s="26" t="n">
        <x:f>IF(O91=0,0,Q91/O91)</x:f>
        <x:v>0.4265987946872623</x:v>
      </x:c>
    </x:row>
    <x:row r="92">
      <x:c r="A92" t="str">
        <x:f>'Datos_Brutos'!A92</x:f>
        <x:v>V-0091</x:v>
      </x:c>
      <x:c r="B92" s="10" t="n">
        <x:f>'Datos_Brutos'!B92</x:f>
        <x:v>46169</x:v>
      </x:c>
      <x:c r="C92" t="str">
        <x:f>TEXT(B92,"yyyy-mm")</x:f>
        <x:v>2026-05</x:v>
      </x:c>
      <x:c r="D92" t="str">
        <x:f>'Datos_Brutos'!C92</x:f>
        <x:v>Cliente 020</x:v>
      </x:c>
      <x:c r="E92" t="str">
        <x:f>'Datos_Brutos'!D92</x:f>
        <x:v>Polera básica</x:v>
      </x:c>
      <x:c r="F92" t="str">
        <x:f>'Datos_Brutos'!E92</x:f>
        <x:v>Moda</x:v>
      </x:c>
      <x:c r="G92" t="str">
        <x:f>VLOOKUP('Datos_Brutos'!F92,Listas!$A$2:$B$13,2,FALSE)</x:f>
        <x:v>Maule</x:v>
      </x:c>
      <x:c r="H92" t="str">
        <x:f>VLOOKUP('Datos_Brutos'!G92,Listas!$D$2:$E$10,2,FALSE)</x:f>
        <x:v>Web</x:v>
      </x:c>
      <x:c r="I92" t="n">
        <x:f>'Datos_Brutos'!H92</x:f>
        <x:v>1</x:v>
      </x:c>
      <x:c r="J92" s="12" t="n">
        <x:f>'Datos_Brutos'!I92</x:f>
        <x:v>15990</x:v>
      </x:c>
      <x:c r="K92" s="12" t="n">
        <x:f>'Datos_Brutos'!J92</x:f>
        <x:v>6800</x:v>
      </x:c>
      <x:c r="L92" s="14" t="n">
        <x:f>'Datos_Brutos'!K92</x:f>
        <x:v>0</x:v>
      </x:c>
      <x:c r="M92" t="str">
        <x:f>VLOOKUP('Datos_Brutos'!L92,Listas!$G$2:$H$10,2,FALSE)</x:f>
        <x:v>Completado</x:v>
      </x:c>
      <x:c r="N92" s="12" t="n">
        <x:f>I92*J92</x:f>
        <x:v>15990</x:v>
      </x:c>
      <x:c r="O92" s="12" t="n">
        <x:f>IF(M92="Cancelado",0,N92*(1-L92))</x:f>
        <x:v>15990</x:v>
      </x:c>
      <x:c r="P92" s="12" t="n">
        <x:f>IF(M92="Cancelado",0,I92*K92)</x:f>
        <x:v>6800</x:v>
      </x:c>
      <x:c r="Q92" s="12" t="n">
        <x:f>O92-P92</x:f>
        <x:v>9190</x:v>
      </x:c>
      <x:c r="R92" s="26" t="n">
        <x:f>IF(O92=0,0,Q92/O92)</x:f>
        <x:v>0.5747342088805504</x:v>
      </x:c>
    </x:row>
    <x:row r="93">
      <x:c r="A93" t="str">
        <x:f>'Datos_Brutos'!A93</x:f>
        <x:v>V-0092</x:v>
      </x:c>
      <x:c r="B93" s="10" t="n">
        <x:f>'Datos_Brutos'!B93</x:f>
        <x:v>46149</x:v>
      </x:c>
      <x:c r="C93" t="str">
        <x:f>TEXT(B93,"yyyy-mm")</x:f>
        <x:v>2026-05</x:v>
      </x:c>
      <x:c r="D93" t="str">
        <x:f>'Datos_Brutos'!C93</x:f>
        <x:v>Cliente 019</x:v>
      </x:c>
      <x:c r="E93" t="str">
        <x:f>'Datos_Brutos'!D93</x:f>
        <x:v>Auriculares</x:v>
      </x:c>
      <x:c r="F93" t="str">
        <x:f>'Datos_Brutos'!E93</x:f>
        <x:v>Tecnología</x:v>
      </x:c>
      <x:c r="G93" t="str">
        <x:f>VLOOKUP('Datos_Brutos'!F93,Listas!$A$2:$B$13,2,FALSE)</x:f>
        <x:v>Biobío</x:v>
      </x:c>
      <x:c r="H93" t="str">
        <x:f>VLOOKUP('Datos_Brutos'!G93,Listas!$D$2:$E$10,2,FALSE)</x:f>
        <x:v>Marketplace</x:v>
      </x:c>
      <x:c r="I93" t="n">
        <x:f>'Datos_Brutos'!H93</x:f>
        <x:v>1</x:v>
      </x:c>
      <x:c r="J93" s="12" t="n">
        <x:f>'Datos_Brutos'!I93</x:f>
        <x:v>24990</x:v>
      </x:c>
      <x:c r="K93" s="12" t="n">
        <x:f>'Datos_Brutos'!J93</x:f>
        <x:v>14500</x:v>
      </x:c>
      <x:c r="L93" s="14" t="n">
        <x:f>'Datos_Brutos'!K93</x:f>
        <x:v>0</x:v>
      </x:c>
      <x:c r="M93" t="str">
        <x:f>VLOOKUP('Datos_Brutos'!L93,Listas!$G$2:$H$10,2,FALSE)</x:f>
        <x:v>Completado</x:v>
      </x:c>
      <x:c r="N93" s="12" t="n">
        <x:f>I93*J93</x:f>
        <x:v>24990</x:v>
      </x:c>
      <x:c r="O93" s="12" t="n">
        <x:f>IF(M93="Cancelado",0,N93*(1-L93))</x:f>
        <x:v>24990</x:v>
      </x:c>
      <x:c r="P93" s="12" t="n">
        <x:f>IF(M93="Cancelado",0,I93*K93)</x:f>
        <x:v>14500</x:v>
      </x:c>
      <x:c r="Q93" s="12" t="n">
        <x:f>O93-P93</x:f>
        <x:v>10490</x:v>
      </x:c>
      <x:c r="R93" s="26" t="n">
        <x:f>IF(O93=0,0,Q93/O93)</x:f>
        <x:v>0.41976790716286516</x:v>
      </x:c>
    </x:row>
    <x:row r="94">
      <x:c r="A94" t="str">
        <x:f>'Datos_Brutos'!A94</x:f>
        <x:v>V-0093</x:v>
      </x:c>
      <x:c r="B94" s="10" t="n">
        <x:f>'Datos_Brutos'!B94</x:f>
        <x:v>46127</x:v>
      </x:c>
      <x:c r="C94" t="str">
        <x:f>TEXT(B94,"yyyy-mm")</x:f>
        <x:v>2026-04</x:v>
      </x:c>
      <x:c r="D94" t="str">
        <x:f>'Datos_Brutos'!C94</x:f>
        <x:v>Cliente 011</x:v>
      </x:c>
      <x:c r="E94" t="str">
        <x:f>'Datos_Brutos'!D94</x:f>
        <x:v>Planner</x:v>
      </x:c>
      <x:c r="F94" t="str">
        <x:f>'Datos_Brutos'!E94</x:f>
        <x:v>Papelería</x:v>
      </x:c>
      <x:c r="G94" t="str">
        <x:f>VLOOKUP('Datos_Brutos'!F94,Listas!$A$2:$B$13,2,FALSE)</x:f>
        <x:v>Metropolitana</x:v>
      </x:c>
      <x:c r="H94" t="str">
        <x:f>VLOOKUP('Datos_Brutos'!G94,Listas!$D$2:$E$10,2,FALSE)</x:f>
        <x:v>Instagram</x:v>
      </x:c>
      <x:c r="I94" t="n">
        <x:f>'Datos_Brutos'!H94</x:f>
        <x:v>4</x:v>
      </x:c>
      <x:c r="J94" s="12" t="n">
        <x:f>'Datos_Brutos'!I94</x:f>
        <x:v>12990</x:v>
      </x:c>
      <x:c r="K94" s="12" t="n">
        <x:f>'Datos_Brutos'!J94</x:f>
        <x:v>4800</x:v>
      </x:c>
      <x:c r="L94" s="14" t="n">
        <x:f>'Datos_Brutos'!K94</x:f>
        <x:v>0</x:v>
      </x:c>
      <x:c r="M94" t="str">
        <x:f>VLOOKUP('Datos_Brutos'!L94,Listas!$G$2:$H$10,2,FALSE)</x:f>
        <x:v>Completado</x:v>
      </x:c>
      <x:c r="N94" s="12" t="n">
        <x:f>I94*J94</x:f>
        <x:v>51960</x:v>
      </x:c>
      <x:c r="O94" s="12" t="n">
        <x:f>IF(M94="Cancelado",0,N94*(1-L94))</x:f>
        <x:v>51960</x:v>
      </x:c>
      <x:c r="P94" s="12" t="n">
        <x:f>IF(M94="Cancelado",0,I94*K94)</x:f>
        <x:v>19200</x:v>
      </x:c>
      <x:c r="Q94" s="12" t="n">
        <x:f>O94-P94</x:f>
        <x:v>32760</x:v>
      </x:c>
      <x:c r="R94" s="26" t="n">
        <x:f>IF(O94=0,0,Q94/O94)</x:f>
        <x:v>0.6304849884526559</x:v>
      </x:c>
    </x:row>
    <x:row r="95">
      <x:c r="A95" t="str">
        <x:f>'Datos_Brutos'!A95</x:f>
        <x:v>V-0094</x:v>
      </x:c>
      <x:c r="B95" s="10" t="n">
        <x:f>'Datos_Brutos'!B95</x:f>
        <x:v>46241</x:v>
      </x:c>
      <x:c r="C95" t="str">
        <x:f>TEXT(B95,"yyyy-mm")</x:f>
        <x:v>2026-08</x:v>
      </x:c>
      <x:c r="D95" t="str">
        <x:f>'Datos_Brutos'!C95</x:f>
        <x:v>Cliente 031</x:v>
      </x:c>
      <x:c r="E95" t="str">
        <x:f>'Datos_Brutos'!D95</x:f>
        <x:v>Botella térmica</x:v>
      </x:c>
      <x:c r="F95" t="str">
        <x:f>'Datos_Brutos'!E95</x:f>
        <x:v>Hogar</x:v>
      </x:c>
      <x:c r="G95" t="str">
        <x:f>VLOOKUP('Datos_Brutos'!F95,Listas!$A$2:$B$13,2,FALSE)</x:f>
        <x:v>Maule</x:v>
      </x:c>
      <x:c r="H95" t="str">
        <x:f>VLOOKUP('Datos_Brutos'!G95,Listas!$D$2:$E$10,2,FALSE)</x:f>
        <x:v>Instagram</x:v>
      </x:c>
      <x:c r="I95" t="n">
        <x:f>'Datos_Brutos'!H95</x:f>
        <x:v>2</x:v>
      </x:c>
      <x:c r="J95" s="12" t="n">
        <x:f>'Datos_Brutos'!I95</x:f>
        <x:v>17990</x:v>
      </x:c>
      <x:c r="K95" s="12" t="n">
        <x:f>'Datos_Brutos'!J95</x:f>
        <x:v>8300</x:v>
      </x:c>
      <x:c r="L95" s="14" t="n">
        <x:f>'Datos_Brutos'!K95</x:f>
        <x:v>0.05</x:v>
      </x:c>
      <x:c r="M95" t="str">
        <x:f>VLOOKUP('Datos_Brutos'!L95,Listas!$G$2:$H$10,2,FALSE)</x:f>
        <x:v>Pendiente</x:v>
      </x:c>
      <x:c r="N95" s="12" t="n">
        <x:f>I95*J95</x:f>
        <x:v>35980</x:v>
      </x:c>
      <x:c r="O95" s="12" t="n">
        <x:f>IF(M95="Cancelado",0,N95*(1-L95))</x:f>
        <x:v>34181</x:v>
      </x:c>
      <x:c r="P95" s="12" t="n">
        <x:f>IF(M95="Cancelado",0,I95*K95)</x:f>
        <x:v>16600</x:v>
      </x:c>
      <x:c r="Q95" s="12" t="n">
        <x:f>O95-P95</x:f>
        <x:v>17581</x:v>
      </x:c>
      <x:c r="R95" s="26" t="n">
        <x:f>IF(O95=0,0,Q95/O95)</x:f>
        <x:v>0.5143500775284515</x:v>
      </x:c>
    </x:row>
    <x:row r="96">
      <x:c r="A96" t="str">
        <x:f>'Datos_Brutos'!A96</x:f>
        <x:v>V-0095</x:v>
      </x:c>
      <x:c r="B96" s="10" t="n">
        <x:f>'Datos_Brutos'!B96</x:f>
        <x:v>46184</x:v>
      </x:c>
      <x:c r="C96" t="str">
        <x:f>TEXT(B96,"yyyy-mm")</x:f>
        <x:v>2026-06</x:v>
      </x:c>
      <x:c r="D96" t="str">
        <x:f>'Datos_Brutos'!C96</x:f>
        <x:v>Cliente 057</x:v>
      </x:c>
      <x:c r="E96" t="str">
        <x:f>'Datos_Brutos'!D96</x:f>
        <x:v>Planner</x:v>
      </x:c>
      <x:c r="F96" t="str">
        <x:f>'Datos_Brutos'!E96</x:f>
        <x:v>Papelería</x:v>
      </x:c>
      <x:c r="G96" t="str">
        <x:f>VLOOKUP('Datos_Brutos'!F96,Listas!$A$2:$B$13,2,FALSE)</x:f>
        <x:v>Valparaíso</x:v>
      </x:c>
      <x:c r="H96" t="str">
        <x:f>VLOOKUP('Datos_Brutos'!G96,Listas!$D$2:$E$10,2,FALSE)</x:f>
        <x:v>Web</x:v>
      </x:c>
      <x:c r="I96" t="n">
        <x:f>'Datos_Brutos'!H96</x:f>
        <x:v>3</x:v>
      </x:c>
      <x:c r="J96" s="12" t="n">
        <x:f>'Datos_Brutos'!I96</x:f>
        <x:v>12990</x:v>
      </x:c>
      <x:c r="K96" s="12" t="n">
        <x:f>'Datos_Brutos'!J96</x:f>
        <x:v>4800</x:v>
      </x:c>
      <x:c r="L96" s="14" t="n">
        <x:f>'Datos_Brutos'!K96</x:f>
        <x:v>0.1</x:v>
      </x:c>
      <x:c r="M96" t="str">
        <x:f>VLOOKUP('Datos_Brutos'!L96,Listas!$G$2:$H$10,2,FALSE)</x:f>
        <x:v>Completado</x:v>
      </x:c>
      <x:c r="N96" s="12" t="n">
        <x:f>I96*J96</x:f>
        <x:v>38970</x:v>
      </x:c>
      <x:c r="O96" s="12" t="n">
        <x:f>IF(M96="Cancelado",0,N96*(1-L96))</x:f>
        <x:v>35073</x:v>
      </x:c>
      <x:c r="P96" s="12" t="n">
        <x:f>IF(M96="Cancelado",0,I96*K96)</x:f>
        <x:v>14400</x:v>
      </x:c>
      <x:c r="Q96" s="12" t="n">
        <x:f>O96-P96</x:f>
        <x:v>20673</x:v>
      </x:c>
      <x:c r="R96" s="26" t="n">
        <x:f>IF(O96=0,0,Q96/O96)</x:f>
        <x:v>0.5894277649473955</x:v>
      </x:c>
    </x:row>
    <x:row r="97">
      <x:c r="A97" t="str">
        <x:f>'Datos_Brutos'!A97</x:f>
        <x:v>V-0096</x:v>
      </x:c>
      <x:c r="B97" s="10" t="n">
        <x:f>'Datos_Brutos'!B97</x:f>
        <x:v>46065</x:v>
      </x:c>
      <x:c r="C97" t="str">
        <x:f>TEXT(B97,"yyyy-mm")</x:f>
        <x:v>2026-02</x:v>
      </x:c>
      <x:c r="D97" t="str">
        <x:f>'Datos_Brutos'!C97</x:f>
        <x:v>Cliente 032</x:v>
      </x:c>
      <x:c r="E97" t="str">
        <x:f>'Datos_Brutos'!D97</x:f>
        <x:v>Set de lápices</x:v>
      </x:c>
      <x:c r="F97" t="str">
        <x:f>'Datos_Brutos'!E97</x:f>
        <x:v>Papelería</x:v>
      </x:c>
      <x:c r="G97" t="str">
        <x:f>VLOOKUP('Datos_Brutos'!F97,Listas!$A$2:$B$13,2,FALSE)</x:f>
        <x:v>Metropolitana</x:v>
      </x:c>
      <x:c r="H97" t="str">
        <x:f>VLOOKUP('Datos_Brutos'!G97,Listas!$D$2:$E$10,2,FALSE)</x:f>
        <x:v>Web</x:v>
      </x:c>
      <x:c r="I97" t="n">
        <x:f>'Datos_Brutos'!H97</x:f>
        <x:v>1</x:v>
      </x:c>
      <x:c r="J97" s="12" t="n">
        <x:f>'Datos_Brutos'!I97</x:f>
        <x:v>7990</x:v>
      </x:c>
      <x:c r="K97" s="12" t="n">
        <x:f>'Datos_Brutos'!J97</x:f>
        <x:v>2600</x:v>
      </x:c>
      <x:c r="L97" s="14" t="n">
        <x:f>'Datos_Brutos'!K97</x:f>
        <x:v>0</x:v>
      </x:c>
      <x:c r="M97" t="str">
        <x:f>VLOOKUP('Datos_Brutos'!L97,Listas!$G$2:$H$10,2,FALSE)</x:f>
        <x:v>Completado</x:v>
      </x:c>
      <x:c r="N97" s="12" t="n">
        <x:f>I97*J97</x:f>
        <x:v>7990</x:v>
      </x:c>
      <x:c r="O97" s="12" t="n">
        <x:f>IF(M97="Cancelado",0,N97*(1-L97))</x:f>
        <x:v>7990</x:v>
      </x:c>
      <x:c r="P97" s="12" t="n">
        <x:f>IF(M97="Cancelado",0,I97*K97)</x:f>
        <x:v>2600</x:v>
      </x:c>
      <x:c r="Q97" s="12" t="n">
        <x:f>O97-P97</x:f>
        <x:v>5390</x:v>
      </x:c>
      <x:c r="R97" s="26" t="n">
        <x:f>IF(O97=0,0,Q97/O97)</x:f>
        <x:v>0.6745932415519399</x:v>
      </x:c>
    </x:row>
    <x:row r="98">
      <x:c r="A98" t="str">
        <x:f>'Datos_Brutos'!A98</x:f>
        <x:v>V-0097</x:v>
      </x:c>
      <x:c r="B98" s="10" t="n">
        <x:f>'Datos_Brutos'!B98</x:f>
        <x:v>46158</x:v>
      </x:c>
      <x:c r="C98" t="str">
        <x:f>TEXT(B98,"yyyy-mm")</x:f>
        <x:v>2026-05</x:v>
      </x:c>
      <x:c r="D98" t="str">
        <x:f>'Datos_Brutos'!C98</x:f>
        <x:v>Cliente 064</x:v>
      </x:c>
      <x:c r="E98" t="str">
        <x:f>'Datos_Brutos'!D98</x:f>
        <x:v>Polera básica</x:v>
      </x:c>
      <x:c r="F98" t="str">
        <x:f>'Datos_Brutos'!E98</x:f>
        <x:v>Moda</x:v>
      </x:c>
      <x:c r="G98" t="str">
        <x:f>VLOOKUP('Datos_Brutos'!F98,Listas!$A$2:$B$13,2,FALSE)</x:f>
        <x:v>Valparaíso</x:v>
      </x:c>
      <x:c r="H98" t="str">
        <x:f>VLOOKUP('Datos_Brutos'!G98,Listas!$D$2:$E$10,2,FALSE)</x:f>
        <x:v>Web</x:v>
      </x:c>
      <x:c r="I98" t="n">
        <x:f>'Datos_Brutos'!H98</x:f>
        <x:v>1</x:v>
      </x:c>
      <x:c r="J98" s="12" t="n">
        <x:f>'Datos_Brutos'!I98</x:f>
        <x:v>15990</x:v>
      </x:c>
      <x:c r="K98" s="12" t="n">
        <x:f>'Datos_Brutos'!J98</x:f>
        <x:v>6800</x:v>
      </x:c>
      <x:c r="L98" s="14" t="n">
        <x:f>'Datos_Brutos'!K98</x:f>
        <x:v>0.05</x:v>
      </x:c>
      <x:c r="M98" t="str">
        <x:f>VLOOKUP('Datos_Brutos'!L98,Listas!$G$2:$H$10,2,FALSE)</x:f>
        <x:v>Pendiente</x:v>
      </x:c>
      <x:c r="N98" s="12" t="n">
        <x:f>I98*J98</x:f>
        <x:v>15990</x:v>
      </x:c>
      <x:c r="O98" s="12" t="n">
        <x:f>IF(M98="Cancelado",0,N98*(1-L98))</x:f>
        <x:v>15190.5</x:v>
      </x:c>
      <x:c r="P98" s="12" t="n">
        <x:f>IF(M98="Cancelado",0,I98*K98)</x:f>
        <x:v>6800</x:v>
      </x:c>
      <x:c r="Q98" s="12" t="n">
        <x:f>O98-P98</x:f>
        <x:v>8390.5</x:v>
      </x:c>
      <x:c r="R98" s="26" t="n">
        <x:f>IF(O98=0,0,Q98/O98)</x:f>
        <x:v>0.552351798821632</x:v>
      </x:c>
    </x:row>
    <x:row r="99">
      <x:c r="A99" t="str">
        <x:f>'Datos_Brutos'!A99</x:f>
        <x:v>V-0098</x:v>
      </x:c>
      <x:c r="B99" s="10" t="n">
        <x:f>'Datos_Brutos'!B99</x:f>
        <x:v>46256</x:v>
      </x:c>
      <x:c r="C99" t="str">
        <x:f>TEXT(B99,"yyyy-mm")</x:f>
        <x:v>2026-08</x:v>
      </x:c>
      <x:c r="D99" t="str">
        <x:f>'Datos_Brutos'!C99</x:f>
        <x:v>Cliente 070</x:v>
      </x:c>
      <x:c r="E99" t="str">
        <x:f>'Datos_Brutos'!D99</x:f>
        <x:v>Cuaderno premium</x:v>
      </x:c>
      <x:c r="F99" t="str">
        <x:f>'Datos_Brutos'!E99</x:f>
        <x:v>Papelería</x:v>
      </x:c>
      <x:c r="G99" t="str">
        <x:f>VLOOKUP('Datos_Brutos'!F99,Listas!$A$2:$B$13,2,FALSE)</x:f>
        <x:v>Maule</x:v>
      </x:c>
      <x:c r="H99" t="str">
        <x:f>VLOOKUP('Datos_Brutos'!G99,Listas!$D$2:$E$10,2,FALSE)</x:f>
        <x:v>Web</x:v>
      </x:c>
      <x:c r="I99" t="n">
        <x:f>'Datos_Brutos'!H99</x:f>
        <x:v>1</x:v>
      </x:c>
      <x:c r="J99" s="12" t="n">
        <x:f>'Datos_Brutos'!I99</x:f>
        <x:v>9990</x:v>
      </x:c>
      <x:c r="K99" s="12" t="n">
        <x:f>'Datos_Brutos'!J99</x:f>
        <x:v>3900</x:v>
      </x:c>
      <x:c r="L99" s="14" t="n">
        <x:f>'Datos_Brutos'!K99</x:f>
        <x:v>0.1</x:v>
      </x:c>
      <x:c r="M99" t="str">
        <x:f>VLOOKUP('Datos_Brutos'!L99,Listas!$G$2:$H$10,2,FALSE)</x:f>
        <x:v>Completado</x:v>
      </x:c>
      <x:c r="N99" s="12" t="n">
        <x:f>I99*J99</x:f>
        <x:v>9990</x:v>
      </x:c>
      <x:c r="O99" s="12" t="n">
        <x:f>IF(M99="Cancelado",0,N99*(1-L99))</x:f>
        <x:v>8991</x:v>
      </x:c>
      <x:c r="P99" s="12" t="n">
        <x:f>IF(M99="Cancelado",0,I99*K99)</x:f>
        <x:v>3900</x:v>
      </x:c>
      <x:c r="Q99" s="12" t="n">
        <x:f>O99-P99</x:f>
        <x:v>5091</x:v>
      </x:c>
      <x:c r="R99" s="26" t="n">
        <x:f>IF(O99=0,0,Q99/O99)</x:f>
        <x:v>0.5662328995662329</x:v>
      </x:c>
    </x:row>
    <x:row r="100">
      <x:c r="A100" t="str">
        <x:f>'Datos_Brutos'!A100</x:f>
        <x:v>V-0099</x:v>
      </x:c>
      <x:c r="B100" s="10" t="n">
        <x:f>'Datos_Brutos'!B100</x:f>
        <x:v>46063</x:v>
      </x:c>
      <x:c r="C100" t="str">
        <x:f>TEXT(B100,"yyyy-mm")</x:f>
        <x:v>2026-02</x:v>
      </x:c>
      <x:c r="D100" t="str">
        <x:f>'Datos_Brutos'!C100</x:f>
        <x:v>Cliente 026</x:v>
      </x:c>
      <x:c r="E100" t="str">
        <x:f>'Datos_Brutos'!D100</x:f>
        <x:v>Teclado</x:v>
      </x:c>
      <x:c r="F100" t="str">
        <x:f>'Datos_Brutos'!E100</x:f>
        <x:v>Tecnología</x:v>
      </x:c>
      <x:c r="G100" t="str">
        <x:f>VLOOKUP('Datos_Brutos'!F100,Listas!$A$2:$B$13,2,FALSE)</x:f>
        <x:v>Biobío</x:v>
      </x:c>
      <x:c r="H100" t="str">
        <x:f>VLOOKUP('Datos_Brutos'!G100,Listas!$D$2:$E$10,2,FALSE)</x:f>
        <x:v>Web</x:v>
      </x:c>
      <x:c r="I100" t="n">
        <x:f>'Datos_Brutos'!H100</x:f>
        <x:v>1</x:v>
      </x:c>
      <x:c r="J100" s="12" t="n">
        <x:f>'Datos_Brutos'!I100</x:f>
        <x:v>32990</x:v>
      </x:c>
      <x:c r="K100" s="12" t="n">
        <x:f>'Datos_Brutos'!J100</x:f>
        <x:v>18500</x:v>
      </x:c>
      <x:c r="L100" s="14" t="n">
        <x:f>'Datos_Brutos'!K100</x:f>
        <x:v>0.1</x:v>
      </x:c>
      <x:c r="M100" t="str">
        <x:f>VLOOKUP('Datos_Brutos'!L100,Listas!$G$2:$H$10,2,FALSE)</x:f>
        <x:v>Completado</x:v>
      </x:c>
      <x:c r="N100" s="12" t="n">
        <x:f>I100*J100</x:f>
        <x:v>32990</x:v>
      </x:c>
      <x:c r="O100" s="12" t="n">
        <x:f>IF(M100="Cancelado",0,N100*(1-L100))</x:f>
        <x:v>29691</x:v>
      </x:c>
      <x:c r="P100" s="12" t="n">
        <x:f>IF(M100="Cancelado",0,I100*K100)</x:f>
        <x:v>18500</x:v>
      </x:c>
      <x:c r="Q100" s="12" t="n">
        <x:f>O100-P100</x:f>
        <x:v>11191</x:v>
      </x:c>
      <x:c r="R100" s="26" t="n">
        <x:f>IF(O100=0,0,Q100/O100)</x:f>
        <x:v>0.3769155636388131</x:v>
      </x:c>
    </x:row>
    <x:row r="101">
      <x:c r="A101" t="str">
        <x:f>'Datos_Brutos'!A101</x:f>
        <x:v>V-0100</x:v>
      </x:c>
      <x:c r="B101" s="10" t="n">
        <x:f>'Datos_Brutos'!B101</x:f>
        <x:v>46121</x:v>
      </x:c>
      <x:c r="C101" t="str">
        <x:f>TEXT(B101,"yyyy-mm")</x:f>
        <x:v>2026-04</x:v>
      </x:c>
      <x:c r="D101" t="str">
        <x:f>'Datos_Brutos'!C101</x:f>
        <x:v>Cliente 051</x:v>
      </x:c>
      <x:c r="E101" t="str">
        <x:f>'Datos_Brutos'!D101</x:f>
        <x:v>Polerón</x:v>
      </x:c>
      <x:c r="F101" t="str">
        <x:f>'Datos_Brutos'!E101</x:f>
        <x:v>Moda</x:v>
      </x:c>
      <x:c r="G101" t="str">
        <x:f>VLOOKUP('Datos_Brutos'!F101,Listas!$A$2:$B$13,2,FALSE)</x:f>
        <x:v>Maule</x:v>
      </x:c>
      <x:c r="H101" t="str">
        <x:f>VLOOKUP('Datos_Brutos'!G101,Listas!$D$2:$E$10,2,FALSE)</x:f>
        <x:v>Web</x:v>
      </x:c>
      <x:c r="I101" t="n">
        <x:f>'Datos_Brutos'!H101</x:f>
        <x:v>1</x:v>
      </x:c>
      <x:c r="J101" s="12" t="n">
        <x:f>'Datos_Brutos'!I101</x:f>
        <x:v>29990</x:v>
      </x:c>
      <x:c r="K101" s="12" t="n">
        <x:f>'Datos_Brutos'!J101</x:f>
        <x:v>13500</x:v>
      </x:c>
      <x:c r="L101" s="14" t="n">
        <x:f>'Datos_Brutos'!K101</x:f>
        <x:v>0</x:v>
      </x:c>
      <x:c r="M101" t="str">
        <x:f>VLOOKUP('Datos_Brutos'!L101,Listas!$G$2:$H$10,2,FALSE)</x:f>
        <x:v>Cancelado</x:v>
      </x:c>
      <x:c r="N101" s="12" t="n">
        <x:f>I101*J101</x:f>
        <x:v>29990</x:v>
      </x:c>
      <x:c r="O101" s="12" t="n">
        <x:f>IF(M101="Cancelado",0,N101*(1-L101))</x:f>
        <x:v>0</x:v>
      </x:c>
      <x:c r="P101" s="12" t="n">
        <x:f>IF(M101="Cancelado",0,I101*K101)</x:f>
        <x:v>0</x:v>
      </x:c>
      <x:c r="Q101" s="12" t="n">
        <x:f>O101-P101</x:f>
        <x:v>0</x:v>
      </x:c>
      <x:c r="R101" s="26" t="n">
        <x:f>IF(O101=0,0,Q101/O101)</x:f>
        <x:v>0</x:v>
      </x:c>
    </x:row>
    <x:row r="102">
      <x:c r="A102" t="str">
        <x:f>'Datos_Brutos'!A102</x:f>
        <x:v>V-0101</x:v>
      </x:c>
      <x:c r="B102" s="10" t="n">
        <x:f>'Datos_Brutos'!B102</x:f>
        <x:v>46093</x:v>
      </x:c>
      <x:c r="C102" t="str">
        <x:f>TEXT(B102,"yyyy-mm")</x:f>
        <x:v>2026-03</x:v>
      </x:c>
      <x:c r="D102" t="str">
        <x:f>'Datos_Brutos'!C102</x:f>
        <x:v>Cliente 046</x:v>
      </x:c>
      <x:c r="E102" t="str">
        <x:f>'Datos_Brutos'!D102</x:f>
        <x:v>Auriculares</x:v>
      </x:c>
      <x:c r="F102" t="str">
        <x:f>'Datos_Brutos'!E102</x:f>
        <x:v>Tecnología</x:v>
      </x:c>
      <x:c r="G102" t="str">
        <x:f>VLOOKUP('Datos_Brutos'!F102,Listas!$A$2:$B$13,2,FALSE)</x:f>
        <x:v>Metropolitana</x:v>
      </x:c>
      <x:c r="H102" t="str">
        <x:f>VLOOKUP('Datos_Brutos'!G102,Listas!$D$2:$E$10,2,FALSE)</x:f>
        <x:v>Instagram</x:v>
      </x:c>
      <x:c r="I102" t="n">
        <x:f>'Datos_Brutos'!H102</x:f>
        <x:v>1</x:v>
      </x:c>
      <x:c r="J102" s="12" t="n">
        <x:f>'Datos_Brutos'!I102</x:f>
        <x:v>24990</x:v>
      </x:c>
      <x:c r="K102" s="12" t="n">
        <x:f>'Datos_Brutos'!J102</x:f>
        <x:v>14500</x:v>
      </x:c>
      <x:c r="L102" s="14" t="n">
        <x:f>'Datos_Brutos'!K102</x:f>
        <x:v>0.05</x:v>
      </x:c>
      <x:c r="M102" t="str">
        <x:f>VLOOKUP('Datos_Brutos'!L102,Listas!$G$2:$H$10,2,FALSE)</x:f>
        <x:v>Completado</x:v>
      </x:c>
      <x:c r="N102" s="12" t="n">
        <x:f>I102*J102</x:f>
        <x:v>24990</x:v>
      </x:c>
      <x:c r="O102" s="12" t="n">
        <x:f>IF(M102="Cancelado",0,N102*(1-L102))</x:f>
        <x:v>23740.5</x:v>
      </x:c>
      <x:c r="P102" s="12" t="n">
        <x:f>IF(M102="Cancelado",0,I102*K102)</x:f>
        <x:v>14500</x:v>
      </x:c>
      <x:c r="Q102" s="12" t="n">
        <x:f>O102-P102</x:f>
        <x:v>9240.5</x:v>
      </x:c>
      <x:c r="R102" s="26" t="n">
        <x:f>IF(O102=0,0,Q102/O102)</x:f>
        <x:v>0.3892293759609107</x:v>
      </x:c>
    </x:row>
    <x:row r="103">
      <x:c r="A103" t="str">
        <x:f>'Datos_Brutos'!A103</x:f>
        <x:v>V-0102</x:v>
      </x:c>
      <x:c r="B103" s="10" t="n">
        <x:f>'Datos_Brutos'!B103</x:f>
        <x:v>46079</x:v>
      </x:c>
      <x:c r="C103" t="str">
        <x:f>TEXT(B103,"yyyy-mm")</x:f>
        <x:v>2026-02</x:v>
      </x:c>
      <x:c r="D103" t="str">
        <x:f>'Datos_Brutos'!C103</x:f>
        <x:v>Cliente 006</x:v>
      </x:c>
      <x:c r="E103" t="str">
        <x:f>'Datos_Brutos'!D103</x:f>
        <x:v>Planner</x:v>
      </x:c>
      <x:c r="F103" t="str">
        <x:f>'Datos_Brutos'!E103</x:f>
        <x:v>Papelería</x:v>
      </x:c>
      <x:c r="G103" t="str">
        <x:f>VLOOKUP('Datos_Brutos'!F103,Listas!$A$2:$B$13,2,FALSE)</x:f>
        <x:v>Biobío</x:v>
      </x:c>
      <x:c r="H103" t="str">
        <x:f>VLOOKUP('Datos_Brutos'!G103,Listas!$D$2:$E$10,2,FALSE)</x:f>
        <x:v>Instagram</x:v>
      </x:c>
      <x:c r="I103" t="n">
        <x:f>'Datos_Brutos'!H103</x:f>
        <x:v>1</x:v>
      </x:c>
      <x:c r="J103" s="12" t="n">
        <x:f>'Datos_Brutos'!I103</x:f>
        <x:v>12990</x:v>
      </x:c>
      <x:c r="K103" s="12" t="n">
        <x:f>'Datos_Brutos'!J103</x:f>
        <x:v>4800</x:v>
      </x:c>
      <x:c r="L103" s="14" t="n">
        <x:f>'Datos_Brutos'!K103</x:f>
        <x:v>0.05</x:v>
      </x:c>
      <x:c r="M103" t="str">
        <x:f>VLOOKUP('Datos_Brutos'!L103,Listas!$G$2:$H$10,2,FALSE)</x:f>
        <x:v>Completado</x:v>
      </x:c>
      <x:c r="N103" s="12" t="n">
        <x:f>I103*J103</x:f>
        <x:v>12990</x:v>
      </x:c>
      <x:c r="O103" s="12" t="n">
        <x:f>IF(M103="Cancelado",0,N103*(1-L103))</x:f>
        <x:v>12340.5</x:v>
      </x:c>
      <x:c r="P103" s="12" t="n">
        <x:f>IF(M103="Cancelado",0,I103*K103)</x:f>
        <x:v>4800</x:v>
      </x:c>
      <x:c r="Q103" s="12" t="n">
        <x:f>O103-P103</x:f>
        <x:v>7540.5</x:v>
      </x:c>
      <x:c r="R103" s="26" t="n">
        <x:f>IF(O103=0,0,Q103/O103)</x:f>
        <x:v>0.6110368299501641</x:v>
      </x:c>
    </x:row>
    <x:row r="104">
      <x:c r="A104" t="str">
        <x:f>'Datos_Brutos'!A104</x:f>
        <x:v>V-0103</x:v>
      </x:c>
      <x:c r="B104" s="10" t="n">
        <x:f>'Datos_Brutos'!B104</x:f>
        <x:v>46102</x:v>
      </x:c>
      <x:c r="C104" t="str">
        <x:f>TEXT(B104,"yyyy-mm")</x:f>
        <x:v>2026-03</x:v>
      </x:c>
      <x:c r="D104" t="str">
        <x:f>'Datos_Brutos'!C104</x:f>
        <x:v>Cliente 017</x:v>
      </x:c>
      <x:c r="E104" t="str">
        <x:f>'Datos_Brutos'!D104</x:f>
        <x:v>Polerón</x:v>
      </x:c>
      <x:c r="F104" t="str">
        <x:f>'Datos_Brutos'!E104</x:f>
        <x:v>Moda</x:v>
      </x:c>
      <x:c r="G104" t="str">
        <x:f>VLOOKUP('Datos_Brutos'!F104,Listas!$A$2:$B$13,2,FALSE)</x:f>
        <x:v>Biobío</x:v>
      </x:c>
      <x:c r="H104" t="str">
        <x:f>VLOOKUP('Datos_Brutos'!G104,Listas!$D$2:$E$10,2,FALSE)</x:f>
        <x:v>Web</x:v>
      </x:c>
      <x:c r="I104" t="n">
        <x:f>'Datos_Brutos'!H104</x:f>
        <x:v>1</x:v>
      </x:c>
      <x:c r="J104" s="12" t="n">
        <x:f>'Datos_Brutos'!I104</x:f>
        <x:v>29990</x:v>
      </x:c>
      <x:c r="K104" s="12" t="n">
        <x:f>'Datos_Brutos'!J104</x:f>
        <x:v>13500</x:v>
      </x:c>
      <x:c r="L104" s="14" t="n">
        <x:f>'Datos_Brutos'!K104</x:f>
        <x:v>0</x:v>
      </x:c>
      <x:c r="M104" t="str">
        <x:f>VLOOKUP('Datos_Brutos'!L104,Listas!$G$2:$H$10,2,FALSE)</x:f>
        <x:v>Completado</x:v>
      </x:c>
      <x:c r="N104" s="12" t="n">
        <x:f>I104*J104</x:f>
        <x:v>29990</x:v>
      </x:c>
      <x:c r="O104" s="12" t="n">
        <x:f>IF(M104="Cancelado",0,N104*(1-L104))</x:f>
        <x:v>29990</x:v>
      </x:c>
      <x:c r="P104" s="12" t="n">
        <x:f>IF(M104="Cancelado",0,I104*K104)</x:f>
        <x:v>13500</x:v>
      </x:c>
      <x:c r="Q104" s="12" t="n">
        <x:f>O104-P104</x:f>
        <x:v>16490</x:v>
      </x:c>
      <x:c r="R104" s="26" t="n">
        <x:f>IF(O104=0,0,Q104/O104)</x:f>
        <x:v>0.5498499499833278</x:v>
      </x:c>
    </x:row>
    <x:row r="105">
      <x:c r="A105" t="str">
        <x:f>'Datos_Brutos'!A105</x:f>
        <x:v>V-0104</x:v>
      </x:c>
      <x:c r="B105" s="10" t="n">
        <x:f>'Datos_Brutos'!B105</x:f>
        <x:v>46224</x:v>
      </x:c>
      <x:c r="C105" t="str">
        <x:f>TEXT(B105,"yyyy-mm")</x:f>
        <x:v>2026-07</x:v>
      </x:c>
      <x:c r="D105" t="str">
        <x:f>'Datos_Brutos'!C105</x:f>
        <x:v>Cliente 062</x:v>
      </x:c>
      <x:c r="E105" t="str">
        <x:f>'Datos_Brutos'!D105</x:f>
        <x:v>Mochila</x:v>
      </x:c>
      <x:c r="F105" t="str">
        <x:f>'Datos_Brutos'!E105</x:f>
        <x:v>Moda</x:v>
      </x:c>
      <x:c r="G105" t="str">
        <x:f>VLOOKUP('Datos_Brutos'!F105,Listas!$A$2:$B$13,2,FALSE)</x:f>
        <x:v>Biobío</x:v>
      </x:c>
      <x:c r="H105" t="str">
        <x:f>VLOOKUP('Datos_Brutos'!G105,Listas!$D$2:$E$10,2,FALSE)</x:f>
        <x:v>Web</x:v>
      </x:c>
      <x:c r="I105" t="n">
        <x:f>'Datos_Brutos'!H105</x:f>
        <x:v>3</x:v>
      </x:c>
      <x:c r="J105" s="12" t="n">
        <x:f>'Datos_Brutos'!I105</x:f>
        <x:v>26990</x:v>
      </x:c>
      <x:c r="K105" s="12" t="n">
        <x:f>'Datos_Brutos'!J105</x:f>
        <x:v>12000</x:v>
      </x:c>
      <x:c r="L105" s="14" t="n">
        <x:f>'Datos_Brutos'!K105</x:f>
        <x:v>0.1</x:v>
      </x:c>
      <x:c r="M105" t="str">
        <x:f>VLOOKUP('Datos_Brutos'!L105,Listas!$G$2:$H$10,2,FALSE)</x:f>
        <x:v>Pendiente</x:v>
      </x:c>
      <x:c r="N105" s="12" t="n">
        <x:f>I105*J105</x:f>
        <x:v>80970</x:v>
      </x:c>
      <x:c r="O105" s="12" t="n">
        <x:f>IF(M105="Cancelado",0,N105*(1-L105))</x:f>
        <x:v>72873</x:v>
      </x:c>
      <x:c r="P105" s="12" t="n">
        <x:f>IF(M105="Cancelado",0,I105*K105)</x:f>
        <x:v>36000</x:v>
      </x:c>
      <x:c r="Q105" s="12" t="n">
        <x:f>O105-P105</x:f>
        <x:v>36873</x:v>
      </x:c>
      <x:c r="R105" s="26" t="n">
        <x:f>IF(O105=0,0,Q105/O105)</x:f>
        <x:v>0.5059898727923923</x:v>
      </x:c>
    </x:row>
    <x:row r="106">
      <x:c r="A106" t="str">
        <x:f>'Datos_Brutos'!A106</x:f>
        <x:v>V-0105</x:v>
      </x:c>
      <x:c r="B106" s="10" t="n">
        <x:f>'Datos_Brutos'!B106</x:f>
        <x:v>46229</x:v>
      </x:c>
      <x:c r="C106" t="str">
        <x:f>TEXT(B106,"yyyy-mm")</x:f>
        <x:v>2026-07</x:v>
      </x:c>
      <x:c r="D106" t="str">
        <x:f>'Datos_Brutos'!C106</x:f>
        <x:v>Cliente 051</x:v>
      </x:c>
      <x:c r="E106" t="str">
        <x:f>'Datos_Brutos'!D106</x:f>
        <x:v>Organizador</x:v>
      </x:c>
      <x:c r="F106" t="str">
        <x:f>'Datos_Brutos'!E106</x:f>
        <x:v>Hogar</x:v>
      </x:c>
      <x:c r="G106" t="str">
        <x:f>VLOOKUP('Datos_Brutos'!F106,Listas!$A$2:$B$13,2,FALSE)</x:f>
        <x:v>Biobío</x:v>
      </x:c>
      <x:c r="H106" t="str">
        <x:f>VLOOKUP('Datos_Brutos'!G106,Listas!$D$2:$E$10,2,FALSE)</x:f>
        <x:v>Web</x:v>
      </x:c>
      <x:c r="I106" t="n">
        <x:f>'Datos_Brutos'!H106</x:f>
        <x:v>2</x:v>
      </x:c>
      <x:c r="J106" s="12" t="n">
        <x:f>'Datos_Brutos'!I106</x:f>
        <x:v>14990</x:v>
      </x:c>
      <x:c r="K106" s="12" t="n">
        <x:f>'Datos_Brutos'!J106</x:f>
        <x:v>7200</x:v>
      </x:c>
      <x:c r="L106" s="14" t="n">
        <x:f>'Datos_Brutos'!K106</x:f>
        <x:v>0.1</x:v>
      </x:c>
      <x:c r="M106" t="str">
        <x:f>VLOOKUP('Datos_Brutos'!L106,Listas!$G$2:$H$10,2,FALSE)</x:f>
        <x:v>Completado</x:v>
      </x:c>
      <x:c r="N106" s="12" t="n">
        <x:f>I106*J106</x:f>
        <x:v>29980</x:v>
      </x:c>
      <x:c r="O106" s="12" t="n">
        <x:f>IF(M106="Cancelado",0,N106*(1-L106))</x:f>
        <x:v>26982</x:v>
      </x:c>
      <x:c r="P106" s="12" t="n">
        <x:f>IF(M106="Cancelado",0,I106*K106)</x:f>
        <x:v>14400</x:v>
      </x:c>
      <x:c r="Q106" s="12" t="n">
        <x:f>O106-P106</x:f>
        <x:v>12582</x:v>
      </x:c>
      <x:c r="R106" s="26" t="n">
        <x:f>IF(O106=0,0,Q106/O106)</x:f>
        <x:v>0.46631087391594395</x:v>
      </x:c>
    </x:row>
    <x:row r="107">
      <x:c r="A107" t="str">
        <x:f>'Datos_Brutos'!A107</x:f>
        <x:v>V-0106</x:v>
      </x:c>
      <x:c r="B107" s="10" t="n">
        <x:f>'Datos_Brutos'!B107</x:f>
        <x:v>46239</x:v>
      </x:c>
      <x:c r="C107" t="str">
        <x:f>TEXT(B107,"yyyy-mm")</x:f>
        <x:v>2026-08</x:v>
      </x:c>
      <x:c r="D107" t="str">
        <x:f>'Datos_Brutos'!C107</x:f>
        <x:v>Cliente 034</x:v>
      </x:c>
      <x:c r="E107" t="str">
        <x:f>'Datos_Brutos'!D107</x:f>
        <x:v>Mochila</x:v>
      </x:c>
      <x:c r="F107" t="str">
        <x:f>'Datos_Brutos'!E107</x:f>
        <x:v>Moda</x:v>
      </x:c>
      <x:c r="G107" t="str">
        <x:f>VLOOKUP('Datos_Brutos'!F107,Listas!$A$2:$B$13,2,FALSE)</x:f>
        <x:v>Maule</x:v>
      </x:c>
      <x:c r="H107" t="str">
        <x:f>VLOOKUP('Datos_Brutos'!G107,Listas!$D$2:$E$10,2,FALSE)</x:f>
        <x:v>Web</x:v>
      </x:c>
      <x:c r="I107" t="n">
        <x:f>'Datos_Brutos'!H107</x:f>
        <x:v>1</x:v>
      </x:c>
      <x:c r="J107" s="12" t="n">
        <x:f>'Datos_Brutos'!I107</x:f>
        <x:v>26990</x:v>
      </x:c>
      <x:c r="K107" s="12" t="n">
        <x:f>'Datos_Brutos'!J107</x:f>
        <x:v>12000</x:v>
      </x:c>
      <x:c r="L107" s="14" t="n">
        <x:f>'Datos_Brutos'!K107</x:f>
        <x:v>0.05</x:v>
      </x:c>
      <x:c r="M107" t="str">
        <x:f>VLOOKUP('Datos_Brutos'!L107,Listas!$G$2:$H$10,2,FALSE)</x:f>
        <x:v>Completado</x:v>
      </x:c>
      <x:c r="N107" s="12" t="n">
        <x:f>I107*J107</x:f>
        <x:v>26990</x:v>
      </x:c>
      <x:c r="O107" s="12" t="n">
        <x:f>IF(M107="Cancelado",0,N107*(1-L107))</x:f>
        <x:v>25640.5</x:v>
      </x:c>
      <x:c r="P107" s="12" t="n">
        <x:f>IF(M107="Cancelado",0,I107*K107)</x:f>
        <x:v>12000</x:v>
      </x:c>
      <x:c r="Q107" s="12" t="n">
        <x:f>O107-P107</x:f>
        <x:v>13640.5</x:v>
      </x:c>
      <x:c r="R107" s="26" t="n">
        <x:f>IF(O107=0,0,Q107/O107)</x:f>
        <x:v>0.531990405803319</x:v>
      </x:c>
    </x:row>
    <x:row r="108">
      <x:c r="A108" t="str">
        <x:f>'Datos_Brutos'!A108</x:f>
        <x:v>V-0107</x:v>
      </x:c>
      <x:c r="B108" s="10" t="n">
        <x:f>'Datos_Brutos'!B108</x:f>
        <x:v>46172</x:v>
      </x:c>
      <x:c r="C108" t="str">
        <x:f>TEXT(B108,"yyyy-mm")</x:f>
        <x:v>2026-05</x:v>
      </x:c>
      <x:c r="D108" t="str">
        <x:f>'Datos_Brutos'!C108</x:f>
        <x:v>Cliente 029</x:v>
      </x:c>
      <x:c r="E108" t="str">
        <x:f>'Datos_Brutos'!D108</x:f>
        <x:v>Polera básica</x:v>
      </x:c>
      <x:c r="F108" t="str">
        <x:f>'Datos_Brutos'!E108</x:f>
        <x:v>Moda</x:v>
      </x:c>
      <x:c r="G108" t="str">
        <x:f>VLOOKUP('Datos_Brutos'!F108,Listas!$A$2:$B$13,2,FALSE)</x:f>
        <x:v>Biobío</x:v>
      </x:c>
      <x:c r="H108" t="str">
        <x:f>VLOOKUP('Datos_Brutos'!G108,Listas!$D$2:$E$10,2,FALSE)</x:f>
        <x:v>Instagram</x:v>
      </x:c>
      <x:c r="I108" t="n">
        <x:f>'Datos_Brutos'!H108</x:f>
        <x:v>2</x:v>
      </x:c>
      <x:c r="J108" s="12" t="n">
        <x:f>'Datos_Brutos'!I108</x:f>
        <x:v>15990</x:v>
      </x:c>
      <x:c r="K108" s="12" t="n">
        <x:f>'Datos_Brutos'!J108</x:f>
        <x:v>6800</x:v>
      </x:c>
      <x:c r="L108" s="14" t="n">
        <x:f>'Datos_Brutos'!K108</x:f>
        <x:v>0</x:v>
      </x:c>
      <x:c r="M108" t="str">
        <x:f>VLOOKUP('Datos_Brutos'!L108,Listas!$G$2:$H$10,2,FALSE)</x:f>
        <x:v>Completado</x:v>
      </x:c>
      <x:c r="N108" s="12" t="n">
        <x:f>I108*J108</x:f>
        <x:v>31980</x:v>
      </x:c>
      <x:c r="O108" s="12" t="n">
        <x:f>IF(M108="Cancelado",0,N108*(1-L108))</x:f>
        <x:v>31980</x:v>
      </x:c>
      <x:c r="P108" s="12" t="n">
        <x:f>IF(M108="Cancelado",0,I108*K108)</x:f>
        <x:v>13600</x:v>
      </x:c>
      <x:c r="Q108" s="12" t="n">
        <x:f>O108-P108</x:f>
        <x:v>18380</x:v>
      </x:c>
      <x:c r="R108" s="26" t="n">
        <x:f>IF(O108=0,0,Q108/O108)</x:f>
        <x:v>0.5747342088805504</x:v>
      </x:c>
    </x:row>
    <x:row r="109">
      <x:c r="A109" t="str">
        <x:f>'Datos_Brutos'!A109</x:f>
        <x:v>V-0108</x:v>
      </x:c>
      <x:c r="B109" s="10" t="n">
        <x:f>'Datos_Brutos'!B109</x:f>
        <x:v>46188</x:v>
      </x:c>
      <x:c r="C109" t="str">
        <x:f>TEXT(B109,"yyyy-mm")</x:f>
        <x:v>2026-06</x:v>
      </x:c>
      <x:c r="D109" t="str">
        <x:f>'Datos_Brutos'!C109</x:f>
        <x:v>Cliente 039</x:v>
      </x:c>
      <x:c r="E109" t="str">
        <x:f>'Datos_Brutos'!D109</x:f>
        <x:v>Teclado</x:v>
      </x:c>
      <x:c r="F109" t="str">
        <x:f>'Datos_Brutos'!E109</x:f>
        <x:v>Tecnología</x:v>
      </x:c>
      <x:c r="G109" t="str">
        <x:f>VLOOKUP('Datos_Brutos'!F109,Listas!$A$2:$B$13,2,FALSE)</x:f>
        <x:v>Maule</x:v>
      </x:c>
      <x:c r="H109" t="str">
        <x:f>VLOOKUP('Datos_Brutos'!G109,Listas!$D$2:$E$10,2,FALSE)</x:f>
        <x:v>Web</x:v>
      </x:c>
      <x:c r="I109" t="n">
        <x:f>'Datos_Brutos'!H109</x:f>
        <x:v>2</x:v>
      </x:c>
      <x:c r="J109" s="12" t="n">
        <x:f>'Datos_Brutos'!I109</x:f>
        <x:v>32990</x:v>
      </x:c>
      <x:c r="K109" s="12" t="n">
        <x:f>'Datos_Brutos'!J109</x:f>
        <x:v>18500</x:v>
      </x:c>
      <x:c r="L109" s="14" t="n">
        <x:f>'Datos_Brutos'!K109</x:f>
        <x:v>0.1</x:v>
      </x:c>
      <x:c r="M109" t="str">
        <x:f>VLOOKUP('Datos_Brutos'!L109,Listas!$G$2:$H$10,2,FALSE)</x:f>
        <x:v>Completado</x:v>
      </x:c>
      <x:c r="N109" s="12" t="n">
        <x:f>I109*J109</x:f>
        <x:v>65980</x:v>
      </x:c>
      <x:c r="O109" s="12" t="n">
        <x:f>IF(M109="Cancelado",0,N109*(1-L109))</x:f>
        <x:v>59382</x:v>
      </x:c>
      <x:c r="P109" s="12" t="n">
        <x:f>IF(M109="Cancelado",0,I109*K109)</x:f>
        <x:v>37000</x:v>
      </x:c>
      <x:c r="Q109" s="12" t="n">
        <x:f>O109-P109</x:f>
        <x:v>22382</x:v>
      </x:c>
      <x:c r="R109" s="26" t="n">
        <x:f>IF(O109=0,0,Q109/O109)</x:f>
        <x:v>0.3769155636388131</x:v>
      </x:c>
    </x:row>
    <x:row r="110">
      <x:c r="A110" t="str">
        <x:f>'Datos_Brutos'!A110</x:f>
        <x:v>V-0109</x:v>
      </x:c>
      <x:c r="B110" s="10" t="n">
        <x:f>'Datos_Brutos'!B110</x:f>
        <x:v>46149</x:v>
      </x:c>
      <x:c r="C110" t="str">
        <x:f>TEXT(B110,"yyyy-mm")</x:f>
        <x:v>2026-05</x:v>
      </x:c>
      <x:c r="D110" t="str">
        <x:f>'Datos_Brutos'!C110</x:f>
        <x:v>Cliente 054</x:v>
      </x:c>
      <x:c r="E110" t="str">
        <x:f>'Datos_Brutos'!D110</x:f>
        <x:v>Teclado</x:v>
      </x:c>
      <x:c r="F110" t="str">
        <x:f>'Datos_Brutos'!E110</x:f>
        <x:v>Tecnología</x:v>
      </x:c>
      <x:c r="G110" t="str">
        <x:f>VLOOKUP('Datos_Brutos'!F110,Listas!$A$2:$B$13,2,FALSE)</x:f>
        <x:v>Valparaíso</x:v>
      </x:c>
      <x:c r="H110" t="str">
        <x:f>VLOOKUP('Datos_Brutos'!G110,Listas!$D$2:$E$10,2,FALSE)</x:f>
        <x:v>Web</x:v>
      </x:c>
      <x:c r="I110" t="n">
        <x:f>'Datos_Brutos'!H110</x:f>
        <x:v>1</x:v>
      </x:c>
      <x:c r="J110" s="12" t="n">
        <x:f>'Datos_Brutos'!I110</x:f>
        <x:v>32990</x:v>
      </x:c>
      <x:c r="K110" s="12" t="n">
        <x:f>'Datos_Brutos'!J110</x:f>
        <x:v>18500</x:v>
      </x:c>
      <x:c r="L110" s="14" t="n">
        <x:f>'Datos_Brutos'!K110</x:f>
        <x:v>0.1</x:v>
      </x:c>
      <x:c r="M110" t="str">
        <x:f>VLOOKUP('Datos_Brutos'!L110,Listas!$G$2:$H$10,2,FALSE)</x:f>
        <x:v>Cancelado</x:v>
      </x:c>
      <x:c r="N110" s="12" t="n">
        <x:f>I110*J110</x:f>
        <x:v>32990</x:v>
      </x:c>
      <x:c r="O110" s="12" t="n">
        <x:f>IF(M110="Cancelado",0,N110*(1-L110))</x:f>
        <x:v>0</x:v>
      </x:c>
      <x:c r="P110" s="12" t="n">
        <x:f>IF(M110="Cancelado",0,I110*K110)</x:f>
        <x:v>0</x:v>
      </x:c>
      <x:c r="Q110" s="12" t="n">
        <x:f>O110-P110</x:f>
        <x:v>0</x:v>
      </x:c>
      <x:c r="R110" s="26" t="n">
        <x:f>IF(O110=0,0,Q110/O110)</x:f>
        <x:v>0</x:v>
      </x:c>
    </x:row>
    <x:row r="111">
      <x:c r="A111" t="str">
        <x:f>'Datos_Brutos'!A111</x:f>
        <x:v>V-0110</x:v>
      </x:c>
      <x:c r="B111" s="10" t="n">
        <x:f>'Datos_Brutos'!B111</x:f>
        <x:v>46173</x:v>
      </x:c>
      <x:c r="C111" t="str">
        <x:f>TEXT(B111,"yyyy-mm")</x:f>
        <x:v>2026-05</x:v>
      </x:c>
      <x:c r="D111" t="str">
        <x:f>'Datos_Brutos'!C111</x:f>
        <x:v>Cliente 048</x:v>
      </x:c>
      <x:c r="E111" t="str">
        <x:f>'Datos_Brutos'!D111</x:f>
        <x:v>Set de lápices</x:v>
      </x:c>
      <x:c r="F111" t="str">
        <x:f>'Datos_Brutos'!E111</x:f>
        <x:v>Papelería</x:v>
      </x:c>
      <x:c r="G111" t="str">
        <x:f>VLOOKUP('Datos_Brutos'!F111,Listas!$A$2:$B$13,2,FALSE)</x:f>
        <x:v>Maule</x:v>
      </x:c>
      <x:c r="H111" t="str">
        <x:f>VLOOKUP('Datos_Brutos'!G111,Listas!$D$2:$E$10,2,FALSE)</x:f>
        <x:v>Web</x:v>
      </x:c>
      <x:c r="I111" t="n">
        <x:f>'Datos_Brutos'!H111</x:f>
        <x:v>2</x:v>
      </x:c>
      <x:c r="J111" s="12" t="n">
        <x:f>'Datos_Brutos'!I111</x:f>
        <x:v>7990</x:v>
      </x:c>
      <x:c r="K111" s="12" t="n">
        <x:f>'Datos_Brutos'!J111</x:f>
        <x:v>2600</x:v>
      </x:c>
      <x:c r="L111" s="14" t="n">
        <x:f>'Datos_Brutos'!K111</x:f>
        <x:v>0</x:v>
      </x:c>
      <x:c r="M111" t="str">
        <x:f>VLOOKUP('Datos_Brutos'!L111,Listas!$G$2:$H$10,2,FALSE)</x:f>
        <x:v>Completado</x:v>
      </x:c>
      <x:c r="N111" s="12" t="n">
        <x:f>I111*J111</x:f>
        <x:v>15980</x:v>
      </x:c>
      <x:c r="O111" s="12" t="n">
        <x:f>IF(M111="Cancelado",0,N111*(1-L111))</x:f>
        <x:v>15980</x:v>
      </x:c>
      <x:c r="P111" s="12" t="n">
        <x:f>IF(M111="Cancelado",0,I111*K111)</x:f>
        <x:v>5200</x:v>
      </x:c>
      <x:c r="Q111" s="12" t="n">
        <x:f>O111-P111</x:f>
        <x:v>10780</x:v>
      </x:c>
      <x:c r="R111" s="26" t="n">
        <x:f>IF(O111=0,0,Q111/O111)</x:f>
        <x:v>0.6745932415519399</x:v>
      </x:c>
    </x:row>
    <x:row r="112">
      <x:c r="A112" t="str">
        <x:f>'Datos_Brutos'!A112</x:f>
        <x:v>V-0111</x:v>
      </x:c>
      <x:c r="B112" s="10" t="n">
        <x:f>'Datos_Brutos'!B112</x:f>
        <x:v>46078</x:v>
      </x:c>
      <x:c r="C112" t="str">
        <x:f>TEXT(B112,"yyyy-mm")</x:f>
        <x:v>2026-02</x:v>
      </x:c>
      <x:c r="D112" t="str">
        <x:f>'Datos_Brutos'!C112</x:f>
        <x:v>Cliente 051</x:v>
      </x:c>
      <x:c r="E112" t="str">
        <x:f>'Datos_Brutos'!D112</x:f>
        <x:v>Polerón</x:v>
      </x:c>
      <x:c r="F112" t="str">
        <x:f>'Datos_Brutos'!E112</x:f>
        <x:v>Moda</x:v>
      </x:c>
      <x:c r="G112" t="str">
        <x:f>VLOOKUP('Datos_Brutos'!F112,Listas!$A$2:$B$13,2,FALSE)</x:f>
        <x:v>Valparaíso</x:v>
      </x:c>
      <x:c r="H112" t="str">
        <x:f>VLOOKUP('Datos_Brutos'!G112,Listas!$D$2:$E$10,2,FALSE)</x:f>
        <x:v>Web</x:v>
      </x:c>
      <x:c r="I112" t="n">
        <x:f>'Datos_Brutos'!H112</x:f>
        <x:v>1</x:v>
      </x:c>
      <x:c r="J112" s="12" t="n">
        <x:f>'Datos_Brutos'!I112</x:f>
        <x:v>29990</x:v>
      </x:c>
      <x:c r="K112" s="12" t="n">
        <x:f>'Datos_Brutos'!J112</x:f>
        <x:v>13500</x:v>
      </x:c>
      <x:c r="L112" s="14" t="n">
        <x:f>'Datos_Brutos'!K112</x:f>
        <x:v>0</x:v>
      </x:c>
      <x:c r="M112" t="str">
        <x:f>VLOOKUP('Datos_Brutos'!L112,Listas!$G$2:$H$10,2,FALSE)</x:f>
        <x:v>Completado</x:v>
      </x:c>
      <x:c r="N112" s="12" t="n">
        <x:f>I112*J112</x:f>
        <x:v>29990</x:v>
      </x:c>
      <x:c r="O112" s="12" t="n">
        <x:f>IF(M112="Cancelado",0,N112*(1-L112))</x:f>
        <x:v>29990</x:v>
      </x:c>
      <x:c r="P112" s="12" t="n">
        <x:f>IF(M112="Cancelado",0,I112*K112)</x:f>
        <x:v>13500</x:v>
      </x:c>
      <x:c r="Q112" s="12" t="n">
        <x:f>O112-P112</x:f>
        <x:v>16490</x:v>
      </x:c>
      <x:c r="R112" s="26" t="n">
        <x:f>IF(O112=0,0,Q112/O112)</x:f>
        <x:v>0.5498499499833278</x:v>
      </x:c>
    </x:row>
    <x:row r="113">
      <x:c r="A113" t="str">
        <x:f>'Datos_Brutos'!A113</x:f>
        <x:v>V-0112</x:v>
      </x:c>
      <x:c r="B113" s="10" t="n">
        <x:f>'Datos_Brutos'!B113</x:f>
        <x:v>46093</x:v>
      </x:c>
      <x:c r="C113" t="str">
        <x:f>TEXT(B113,"yyyy-mm")</x:f>
        <x:v>2026-03</x:v>
      </x:c>
      <x:c r="D113" t="str">
        <x:f>'Datos_Brutos'!C113</x:f>
        <x:v>Cliente 043</x:v>
      </x:c>
      <x:c r="E113" t="str">
        <x:f>'Datos_Brutos'!D113</x:f>
        <x:v>Lámpara</x:v>
      </x:c>
      <x:c r="F113" t="str">
        <x:f>'Datos_Brutos'!E113</x:f>
        <x:v>Hogar</x:v>
      </x:c>
      <x:c r="G113" t="str">
        <x:f>VLOOKUP('Datos_Brutos'!F113,Listas!$A$2:$B$13,2,FALSE)</x:f>
        <x:v>Maule</x:v>
      </x:c>
      <x:c r="H113" t="str">
        <x:f>VLOOKUP('Datos_Brutos'!G113,Listas!$D$2:$E$10,2,FALSE)</x:f>
        <x:v>Instagram</x:v>
      </x:c>
      <x:c r="I113" t="n">
        <x:f>'Datos_Brutos'!H113</x:f>
        <x:v>4</x:v>
      </x:c>
      <x:c r="J113" s="12" t="n">
        <x:f>'Datos_Brutos'!I113</x:f>
        <x:v>21990</x:v>
      </x:c>
      <x:c r="K113" s="12" t="n">
        <x:f>'Datos_Brutos'!J113</x:f>
        <x:v>11000</x:v>
      </x:c>
      <x:c r="L113" s="14" t="n">
        <x:f>'Datos_Brutos'!K113</x:f>
        <x:v>0</x:v>
      </x:c>
      <x:c r="M113" t="str">
        <x:f>VLOOKUP('Datos_Brutos'!L113,Listas!$G$2:$H$10,2,FALSE)</x:f>
        <x:v>Completado</x:v>
      </x:c>
      <x:c r="N113" s="12" t="n">
        <x:f>I113*J113</x:f>
        <x:v>87960</x:v>
      </x:c>
      <x:c r="O113" s="12" t="n">
        <x:f>IF(M113="Cancelado",0,N113*(1-L113))</x:f>
        <x:v>87960</x:v>
      </x:c>
      <x:c r="P113" s="12" t="n">
        <x:f>IF(M113="Cancelado",0,I113*K113)</x:f>
        <x:v>44000</x:v>
      </x:c>
      <x:c r="Q113" s="12" t="n">
        <x:f>O113-P113</x:f>
        <x:v>43960</x:v>
      </x:c>
      <x:c r="R113" s="26" t="n">
        <x:f>IF(O113=0,0,Q113/O113)</x:f>
        <x:v>0.49977262391996363</x:v>
      </x:c>
    </x:row>
    <x:row r="114">
      <x:c r="A114" t="str">
        <x:f>'Datos_Brutos'!A114</x:f>
        <x:v>V-0113</x:v>
      </x:c>
      <x:c r="B114" s="10" t="n">
        <x:f>'Datos_Brutos'!B114</x:f>
        <x:v>46085</x:v>
      </x:c>
      <x:c r="C114" t="str">
        <x:f>TEXT(B114,"yyyy-mm")</x:f>
        <x:v>2026-03</x:v>
      </x:c>
      <x:c r="D114" t="str">
        <x:f>'Datos_Brutos'!C114</x:f>
        <x:v>Cliente 030</x:v>
      </x:c>
      <x:c r="E114" t="str">
        <x:f>'Datos_Brutos'!D114</x:f>
        <x:v>Mouse</x:v>
      </x:c>
      <x:c r="F114" t="str">
        <x:f>'Datos_Brutos'!E114</x:f>
        <x:v>Tecnología</x:v>
      </x:c>
      <x:c r="G114" t="str">
        <x:f>VLOOKUP('Datos_Brutos'!F114,Listas!$A$2:$B$13,2,FALSE)</x:f>
        <x:v>Valparaíso</x:v>
      </x:c>
      <x:c r="H114" t="str">
        <x:f>VLOOKUP('Datos_Brutos'!G114,Listas!$D$2:$E$10,2,FALSE)</x:f>
        <x:v>Marketplace</x:v>
      </x:c>
      <x:c r="I114" t="n">
        <x:f>'Datos_Brutos'!H114</x:f>
        <x:v>2</x:v>
      </x:c>
      <x:c r="J114" s="12" t="n">
        <x:f>'Datos_Brutos'!I114</x:f>
        <x:v>18990</x:v>
      </x:c>
      <x:c r="K114" s="12" t="n">
        <x:f>'Datos_Brutos'!J114</x:f>
        <x:v>9800</x:v>
      </x:c>
      <x:c r="L114" s="14" t="n">
        <x:f>'Datos_Brutos'!K114</x:f>
        <x:v>0.1</x:v>
      </x:c>
      <x:c r="M114" t="str">
        <x:f>VLOOKUP('Datos_Brutos'!L114,Listas!$G$2:$H$10,2,FALSE)</x:f>
        <x:v>Completado</x:v>
      </x:c>
      <x:c r="N114" s="12" t="n">
        <x:f>I114*J114</x:f>
        <x:v>37980</x:v>
      </x:c>
      <x:c r="O114" s="12" t="n">
        <x:f>IF(M114="Cancelado",0,N114*(1-L114))</x:f>
        <x:v>34182</x:v>
      </x:c>
      <x:c r="P114" s="12" t="n">
        <x:f>IF(M114="Cancelado",0,I114*K114)</x:f>
        <x:v>19600</x:v>
      </x:c>
      <x:c r="Q114" s="12" t="n">
        <x:f>O114-P114</x:f>
        <x:v>14582</x:v>
      </x:c>
      <x:c r="R114" s="26" t="n">
        <x:f>IF(O114=0,0,Q114/O114)</x:f>
        <x:v>0.4265987946872623</x:v>
      </x:c>
    </x:row>
    <x:row r="115">
      <x:c r="A115" t="str">
        <x:f>'Datos_Brutos'!A115</x:f>
        <x:v>V-0114</x:v>
      </x:c>
      <x:c r="B115" s="10" t="n">
        <x:f>'Datos_Brutos'!B115</x:f>
        <x:v>46107</x:v>
      </x:c>
      <x:c r="C115" t="str">
        <x:f>TEXT(B115,"yyyy-mm")</x:f>
        <x:v>2026-03</x:v>
      </x:c>
      <x:c r="D115" t="str">
        <x:f>'Datos_Brutos'!C115</x:f>
        <x:v>Cliente 023</x:v>
      </x:c>
      <x:c r="E115" t="str">
        <x:f>'Datos_Brutos'!D115</x:f>
        <x:v>Mouse</x:v>
      </x:c>
      <x:c r="F115" t="str">
        <x:f>'Datos_Brutos'!E115</x:f>
        <x:v>Tecnología</x:v>
      </x:c>
      <x:c r="G115" t="str">
        <x:f>VLOOKUP('Datos_Brutos'!F115,Listas!$A$2:$B$13,2,FALSE)</x:f>
        <x:v>Metropolitana</x:v>
      </x:c>
      <x:c r="H115" t="str">
        <x:f>VLOOKUP('Datos_Brutos'!G115,Listas!$D$2:$E$10,2,FALSE)</x:f>
        <x:v>Marketplace</x:v>
      </x:c>
      <x:c r="I115" t="n">
        <x:f>'Datos_Brutos'!H115</x:f>
        <x:v>2</x:v>
      </x:c>
      <x:c r="J115" s="12" t="n">
        <x:f>'Datos_Brutos'!I115</x:f>
        <x:v>18990</x:v>
      </x:c>
      <x:c r="K115" s="12" t="n">
        <x:f>'Datos_Brutos'!J115</x:f>
        <x:v>9800</x:v>
      </x:c>
      <x:c r="L115" s="14" t="n">
        <x:f>'Datos_Brutos'!K115</x:f>
        <x:v>0</x:v>
      </x:c>
      <x:c r="M115" t="str">
        <x:f>VLOOKUP('Datos_Brutos'!L115,Listas!$G$2:$H$10,2,FALSE)</x:f>
        <x:v>Cancelado</x:v>
      </x:c>
      <x:c r="N115" s="12" t="n">
        <x:f>I115*J115</x:f>
        <x:v>37980</x:v>
      </x:c>
      <x:c r="O115" s="12" t="n">
        <x:f>IF(M115="Cancelado",0,N115*(1-L115))</x:f>
        <x:v>0</x:v>
      </x:c>
      <x:c r="P115" s="12" t="n">
        <x:f>IF(M115="Cancelado",0,I115*K115)</x:f>
        <x:v>0</x:v>
      </x:c>
      <x:c r="Q115" s="12" t="n">
        <x:f>O115-P115</x:f>
        <x:v>0</x:v>
      </x:c>
      <x:c r="R115" s="26" t="n">
        <x:f>IF(O115=0,0,Q115/O115)</x:f>
        <x:v>0</x:v>
      </x:c>
    </x:row>
    <x:row r="116">
      <x:c r="A116" t="str">
        <x:f>'Datos_Brutos'!A116</x:f>
        <x:v>V-0115</x:v>
      </x:c>
      <x:c r="B116" s="10" t="n">
        <x:f>'Datos_Brutos'!B116</x:f>
        <x:v>46051</x:v>
      </x:c>
      <x:c r="C116" t="str">
        <x:f>TEXT(B116,"yyyy-mm")</x:f>
        <x:v>2026-01</x:v>
      </x:c>
      <x:c r="D116" t="str">
        <x:f>'Datos_Brutos'!C116</x:f>
        <x:v>Cliente 007</x:v>
      </x:c>
      <x:c r="E116" t="str">
        <x:f>'Datos_Brutos'!D116</x:f>
        <x:v>Planner</x:v>
      </x:c>
      <x:c r="F116" t="str">
        <x:f>'Datos_Brutos'!E116</x:f>
        <x:v>Papelería</x:v>
      </x:c>
      <x:c r="G116" t="str">
        <x:f>VLOOKUP('Datos_Brutos'!F116,Listas!$A$2:$B$13,2,FALSE)</x:f>
        <x:v>Valparaíso</x:v>
      </x:c>
      <x:c r="H116" t="str">
        <x:f>VLOOKUP('Datos_Brutos'!G116,Listas!$D$2:$E$10,2,FALSE)</x:f>
        <x:v>Web</x:v>
      </x:c>
      <x:c r="I116" t="n">
        <x:f>'Datos_Brutos'!H116</x:f>
        <x:v>3</x:v>
      </x:c>
      <x:c r="J116" s="12" t="n">
        <x:f>'Datos_Brutos'!I116</x:f>
        <x:v>12990</x:v>
      </x:c>
      <x:c r="K116" s="12" t="n">
        <x:f>'Datos_Brutos'!J116</x:f>
        <x:v>4800</x:v>
      </x:c>
      <x:c r="L116" s="14" t="n">
        <x:f>'Datos_Brutos'!K116</x:f>
        <x:v>0</x:v>
      </x:c>
      <x:c r="M116" t="str">
        <x:f>VLOOKUP('Datos_Brutos'!L116,Listas!$G$2:$H$10,2,FALSE)</x:f>
        <x:v>Completado</x:v>
      </x:c>
      <x:c r="N116" s="12" t="n">
        <x:f>I116*J116</x:f>
        <x:v>38970</x:v>
      </x:c>
      <x:c r="O116" s="12" t="n">
        <x:f>IF(M116="Cancelado",0,N116*(1-L116))</x:f>
        <x:v>38970</x:v>
      </x:c>
      <x:c r="P116" s="12" t="n">
        <x:f>IF(M116="Cancelado",0,I116*K116)</x:f>
        <x:v>14400</x:v>
      </x:c>
      <x:c r="Q116" s="12" t="n">
        <x:f>O116-P116</x:f>
        <x:v>24570</x:v>
      </x:c>
      <x:c r="R116" s="26" t="n">
        <x:f>IF(O116=0,0,Q116/O116)</x:f>
        <x:v>0.6304849884526559</x:v>
      </x:c>
    </x:row>
    <x:row r="117">
      <x:c r="A117" t="str">
        <x:f>'Datos_Brutos'!A117</x:f>
        <x:v>V-0116</x:v>
      </x:c>
      <x:c r="B117" s="10" t="n">
        <x:f>'Datos_Brutos'!B117</x:f>
        <x:v>46055</x:v>
      </x:c>
      <x:c r="C117" t="str">
        <x:f>TEXT(B117,"yyyy-mm")</x:f>
        <x:v>2026-02</x:v>
      </x:c>
      <x:c r="D117" t="str">
        <x:f>'Datos_Brutos'!C117</x:f>
        <x:v>Cliente 058</x:v>
      </x:c>
      <x:c r="E117" t="str">
        <x:f>'Datos_Brutos'!D117</x:f>
        <x:v>Set de lápices</x:v>
      </x:c>
      <x:c r="F117" t="str">
        <x:f>'Datos_Brutos'!E117</x:f>
        <x:v>Papelería</x:v>
      </x:c>
      <x:c r="G117" t="str">
        <x:f>VLOOKUP('Datos_Brutos'!F117,Listas!$A$2:$B$13,2,FALSE)</x:f>
        <x:v>Metropolitana</x:v>
      </x:c>
      <x:c r="H117" t="str">
        <x:f>VLOOKUP('Datos_Brutos'!G117,Listas!$D$2:$E$10,2,FALSE)</x:f>
        <x:v>Web</x:v>
      </x:c>
      <x:c r="I117" t="n">
        <x:f>'Datos_Brutos'!H117</x:f>
        <x:v>1</x:v>
      </x:c>
      <x:c r="J117" s="12" t="n">
        <x:f>'Datos_Brutos'!I117</x:f>
        <x:v>7990</x:v>
      </x:c>
      <x:c r="K117" s="12" t="n">
        <x:f>'Datos_Brutos'!J117</x:f>
        <x:v>2600</x:v>
      </x:c>
      <x:c r="L117" s="14" t="n">
        <x:f>'Datos_Brutos'!K117</x:f>
        <x:v>0.05</x:v>
      </x:c>
      <x:c r="M117" t="str">
        <x:f>VLOOKUP('Datos_Brutos'!L117,Listas!$G$2:$H$10,2,FALSE)</x:f>
        <x:v>Completado</x:v>
      </x:c>
      <x:c r="N117" s="12" t="n">
        <x:f>I117*J117</x:f>
        <x:v>7990</x:v>
      </x:c>
      <x:c r="O117" s="12" t="n">
        <x:f>IF(M117="Cancelado",0,N117*(1-L117))</x:f>
        <x:v>7590.5</x:v>
      </x:c>
      <x:c r="P117" s="12" t="n">
        <x:f>IF(M117="Cancelado",0,I117*K117)</x:f>
        <x:v>2600</x:v>
      </x:c>
      <x:c r="Q117" s="12" t="n">
        <x:f>O117-P117</x:f>
        <x:v>4990.5</x:v>
      </x:c>
      <x:c r="R117" s="26" t="n">
        <x:f>IF(O117=0,0,Q117/O117)</x:f>
        <x:v>0.6574665700546736</x:v>
      </x:c>
    </x:row>
    <x:row r="118">
      <x:c r="A118" t="str">
        <x:f>'Datos_Brutos'!A118</x:f>
        <x:v>V-0117</x:v>
      </x:c>
      <x:c r="B118" s="10" t="n">
        <x:f>'Datos_Brutos'!B118</x:f>
        <x:v>46151</x:v>
      </x:c>
      <x:c r="C118" t="str">
        <x:f>TEXT(B118,"yyyy-mm")</x:f>
        <x:v>2026-05</x:v>
      </x:c>
      <x:c r="D118" t="str">
        <x:f>'Datos_Brutos'!C118</x:f>
        <x:v>Cliente 004</x:v>
      </x:c>
      <x:c r="E118" t="str">
        <x:f>'Datos_Brutos'!D118</x:f>
        <x:v>Lámpara</x:v>
      </x:c>
      <x:c r="F118" t="str">
        <x:f>'Datos_Brutos'!E118</x:f>
        <x:v>Hogar</x:v>
      </x:c>
      <x:c r="G118" t="str">
        <x:f>VLOOKUP('Datos_Brutos'!F118,Listas!$A$2:$B$13,2,FALSE)</x:f>
        <x:v>Metropolitana</x:v>
      </x:c>
      <x:c r="H118" t="str">
        <x:f>VLOOKUP('Datos_Brutos'!G118,Listas!$D$2:$E$10,2,FALSE)</x:f>
        <x:v>Instagram</x:v>
      </x:c>
      <x:c r="I118" t="n">
        <x:f>'Datos_Brutos'!H118</x:f>
        <x:v>3</x:v>
      </x:c>
      <x:c r="J118" s="12" t="n">
        <x:f>'Datos_Brutos'!I118</x:f>
        <x:v>21990</x:v>
      </x:c>
      <x:c r="K118" s="12" t="n">
        <x:f>'Datos_Brutos'!J118</x:f>
        <x:v>11000</x:v>
      </x:c>
      <x:c r="L118" s="14" t="n">
        <x:f>'Datos_Brutos'!K118</x:f>
        <x:v>0.05</x:v>
      </x:c>
      <x:c r="M118" t="str">
        <x:f>VLOOKUP('Datos_Brutos'!L118,Listas!$G$2:$H$10,2,FALSE)</x:f>
        <x:v>Completado</x:v>
      </x:c>
      <x:c r="N118" s="12" t="n">
        <x:f>I118*J118</x:f>
        <x:v>65970</x:v>
      </x:c>
      <x:c r="O118" s="12" t="n">
        <x:f>IF(M118="Cancelado",0,N118*(1-L118))</x:f>
        <x:v>62671.5</x:v>
      </x:c>
      <x:c r="P118" s="12" t="n">
        <x:f>IF(M118="Cancelado",0,I118*K118)</x:f>
        <x:v>33000</x:v>
      </x:c>
      <x:c r="Q118" s="12" t="n">
        <x:f>O118-P118</x:f>
        <x:v>29671.5</x:v>
      </x:c>
      <x:c r="R118" s="26" t="n">
        <x:f>IF(O118=0,0,Q118/O118)</x:f>
        <x:v>0.47344486728417223</x:v>
      </x:c>
    </x:row>
    <x:row r="119">
      <x:c r="A119" t="str">
        <x:f>'Datos_Brutos'!A119</x:f>
        <x:v>V-0118</x:v>
      </x:c>
      <x:c r="B119" s="10" t="n">
        <x:f>'Datos_Brutos'!B119</x:f>
        <x:v>46038</x:v>
      </x:c>
      <x:c r="C119" t="str">
        <x:f>TEXT(B119,"yyyy-mm")</x:f>
        <x:v>2026-01</x:v>
      </x:c>
      <x:c r="D119" t="str">
        <x:f>'Datos_Brutos'!C119</x:f>
        <x:v>Cliente 042</x:v>
      </x:c>
      <x:c r="E119" t="str">
        <x:f>'Datos_Brutos'!D119</x:f>
        <x:v>Polerón</x:v>
      </x:c>
      <x:c r="F119" t="str">
        <x:f>'Datos_Brutos'!E119</x:f>
        <x:v>Moda</x:v>
      </x:c>
      <x:c r="G119" t="str">
        <x:f>VLOOKUP('Datos_Brutos'!F119,Listas!$A$2:$B$13,2,FALSE)</x:f>
        <x:v>Maule</x:v>
      </x:c>
      <x:c r="H119" t="str">
        <x:f>VLOOKUP('Datos_Brutos'!G119,Listas!$D$2:$E$10,2,FALSE)</x:f>
        <x:v>Web</x:v>
      </x:c>
      <x:c r="I119" t="n">
        <x:f>'Datos_Brutos'!H119</x:f>
        <x:v>2</x:v>
      </x:c>
      <x:c r="J119" s="12" t="n">
        <x:f>'Datos_Brutos'!I119</x:f>
        <x:v>29990</x:v>
      </x:c>
      <x:c r="K119" s="12" t="n">
        <x:f>'Datos_Brutos'!J119</x:f>
        <x:v>13500</x:v>
      </x:c>
      <x:c r="L119" s="14" t="n">
        <x:f>'Datos_Brutos'!K119</x:f>
        <x:v>0.1</x:v>
      </x:c>
      <x:c r="M119" t="str">
        <x:f>VLOOKUP('Datos_Brutos'!L119,Listas!$G$2:$H$10,2,FALSE)</x:f>
        <x:v>Pendiente</x:v>
      </x:c>
      <x:c r="N119" s="12" t="n">
        <x:f>I119*J119</x:f>
        <x:v>59980</x:v>
      </x:c>
      <x:c r="O119" s="12" t="n">
        <x:f>IF(M119="Cancelado",0,N119*(1-L119))</x:f>
        <x:v>53982</x:v>
      </x:c>
      <x:c r="P119" s="12" t="n">
        <x:f>IF(M119="Cancelado",0,I119*K119)</x:f>
        <x:v>27000</x:v>
      </x:c>
      <x:c r="Q119" s="12" t="n">
        <x:f>O119-P119</x:f>
        <x:v>26982</x:v>
      </x:c>
      <x:c r="R119" s="26" t="n">
        <x:f>IF(O119=0,0,Q119/O119)</x:f>
        <x:v>0.49983327775925307</x:v>
      </x:c>
    </x:row>
    <x:row r="120">
      <x:c r="A120" t="str">
        <x:f>'Datos_Brutos'!A120</x:f>
        <x:v>V-0119</x:v>
      </x:c>
      <x:c r="B120" s="10" t="n">
        <x:f>'Datos_Brutos'!B120</x:f>
        <x:v>46178</x:v>
      </x:c>
      <x:c r="C120" t="str">
        <x:f>TEXT(B120,"yyyy-mm")</x:f>
        <x:v>2026-06</x:v>
      </x:c>
      <x:c r="D120" t="str">
        <x:f>'Datos_Brutos'!C120</x:f>
        <x:v>Cliente 068</x:v>
      </x:c>
      <x:c r="E120" t="str">
        <x:f>'Datos_Brutos'!D120</x:f>
        <x:v>Mouse</x:v>
      </x:c>
      <x:c r="F120" t="str">
        <x:f>'Datos_Brutos'!E120</x:f>
        <x:v>Tecnología</x:v>
      </x:c>
      <x:c r="G120" t="str">
        <x:f>VLOOKUP('Datos_Brutos'!F120,Listas!$A$2:$B$13,2,FALSE)</x:f>
        <x:v>Biobío</x:v>
      </x:c>
      <x:c r="H120" t="str">
        <x:f>VLOOKUP('Datos_Brutos'!G120,Listas!$D$2:$E$10,2,FALSE)</x:f>
        <x:v>Instagram</x:v>
      </x:c>
      <x:c r="I120" t="n">
        <x:f>'Datos_Brutos'!H120</x:f>
        <x:v>1</x:v>
      </x:c>
      <x:c r="J120" s="12" t="n">
        <x:f>'Datos_Brutos'!I120</x:f>
        <x:v>18990</x:v>
      </x:c>
      <x:c r="K120" s="12" t="n">
        <x:f>'Datos_Brutos'!J120</x:f>
        <x:v>9800</x:v>
      </x:c>
      <x:c r="L120" s="14" t="n">
        <x:f>'Datos_Brutos'!K120</x:f>
        <x:v>0.15</x:v>
      </x:c>
      <x:c r="M120" t="str">
        <x:f>VLOOKUP('Datos_Brutos'!L120,Listas!$G$2:$H$10,2,FALSE)</x:f>
        <x:v>Completado</x:v>
      </x:c>
      <x:c r="N120" s="12" t="n">
        <x:f>I120*J120</x:f>
        <x:v>18990</x:v>
      </x:c>
      <x:c r="O120" s="12" t="n">
        <x:f>IF(M120="Cancelado",0,N120*(1-L120))</x:f>
        <x:v>16141.5</x:v>
      </x:c>
      <x:c r="P120" s="12" t="n">
        <x:f>IF(M120="Cancelado",0,I120*K120)</x:f>
        <x:v>9800</x:v>
      </x:c>
      <x:c r="Q120" s="12" t="n">
        <x:f>O120-P120</x:f>
        <x:v>6341.5</x:v>
      </x:c>
      <x:c r="R120" s="26" t="n">
        <x:f>IF(O120=0,0,Q120/O120)</x:f>
        <x:v>0.39286931202180714</x:v>
      </x:c>
    </x:row>
    <x:row r="121">
      <x:c r="A121" t="str">
        <x:f>'Datos_Brutos'!A121</x:f>
        <x:v>V-0120</x:v>
      </x:c>
      <x:c r="B121" s="10" t="n">
        <x:f>'Datos_Brutos'!B121</x:f>
        <x:v>46098</x:v>
      </x:c>
      <x:c r="C121" t="str">
        <x:f>TEXT(B121,"yyyy-mm")</x:f>
        <x:v>2026-03</x:v>
      </x:c>
      <x:c r="D121" t="str">
        <x:f>'Datos_Brutos'!C121</x:f>
        <x:v>Cliente 071</x:v>
      </x:c>
      <x:c r="E121" t="str">
        <x:f>'Datos_Brutos'!D121</x:f>
        <x:v>Polerón</x:v>
      </x:c>
      <x:c r="F121" t="str">
        <x:f>'Datos_Brutos'!E121</x:f>
        <x:v>Moda</x:v>
      </x:c>
      <x:c r="G121" t="str">
        <x:f>VLOOKUP('Datos_Brutos'!F121,Listas!$A$2:$B$13,2,FALSE)</x:f>
        <x:v>Maule</x:v>
      </x:c>
      <x:c r="H121" t="str">
        <x:f>VLOOKUP('Datos_Brutos'!G121,Listas!$D$2:$E$10,2,FALSE)</x:f>
        <x:v>Instagram</x:v>
      </x:c>
      <x:c r="I121" t="n">
        <x:f>'Datos_Brutos'!H121</x:f>
        <x:v>1</x:v>
      </x:c>
      <x:c r="J121" s="12" t="n">
        <x:f>'Datos_Brutos'!I121</x:f>
        <x:v>29990</x:v>
      </x:c>
      <x:c r="K121" s="12" t="n">
        <x:f>'Datos_Brutos'!J121</x:f>
        <x:v>13500</x:v>
      </x:c>
      <x:c r="L121" s="14" t="n">
        <x:f>'Datos_Brutos'!K121</x:f>
        <x:v>0.1</x:v>
      </x:c>
      <x:c r="M121" t="str">
        <x:f>VLOOKUP('Datos_Brutos'!L121,Listas!$G$2:$H$10,2,FALSE)</x:f>
        <x:v>Pendiente</x:v>
      </x:c>
      <x:c r="N121" s="12" t="n">
        <x:f>I121*J121</x:f>
        <x:v>29990</x:v>
      </x:c>
      <x:c r="O121" s="12" t="n">
        <x:f>IF(M121="Cancelado",0,N121*(1-L121))</x:f>
        <x:v>26991</x:v>
      </x:c>
      <x:c r="P121" s="12" t="n">
        <x:f>IF(M121="Cancelado",0,I121*K121)</x:f>
        <x:v>13500</x:v>
      </x:c>
      <x:c r="Q121" s="12" t="n">
        <x:f>O121-P121</x:f>
        <x:v>13491</x:v>
      </x:c>
      <x:c r="R121" s="26" t="n">
        <x:f>IF(O121=0,0,Q121/O121)</x:f>
        <x:v>0.49983327775925307</x:v>
      </x:c>
    </x:row>
    <x:row r="122">
      <x:c r="A122" t="str">
        <x:f>'Datos_Brutos'!A122</x:f>
        <x:v>V-0121</x:v>
      </x:c>
      <x:c r="B122" s="10" t="n">
        <x:f>'Datos_Brutos'!B122</x:f>
        <x:v>46207</x:v>
      </x:c>
      <x:c r="C122" t="str">
        <x:f>TEXT(B122,"yyyy-mm")</x:f>
        <x:v>2026-07</x:v>
      </x:c>
      <x:c r="D122" t="str">
        <x:f>'Datos_Brutos'!C122</x:f>
        <x:v>Cliente 055</x:v>
      </x:c>
      <x:c r="E122" t="str">
        <x:f>'Datos_Brutos'!D122</x:f>
        <x:v>Lámpara</x:v>
      </x:c>
      <x:c r="F122" t="str">
        <x:f>'Datos_Brutos'!E122</x:f>
        <x:v>Hogar</x:v>
      </x:c>
      <x:c r="G122" t="str">
        <x:f>VLOOKUP('Datos_Brutos'!F122,Listas!$A$2:$B$13,2,FALSE)</x:f>
        <x:v>Valparaíso</x:v>
      </x:c>
      <x:c r="H122" t="str">
        <x:f>VLOOKUP('Datos_Brutos'!G122,Listas!$D$2:$E$10,2,FALSE)</x:f>
        <x:v>Web</x:v>
      </x:c>
      <x:c r="I122" t="n">
        <x:f>'Datos_Brutos'!H122</x:f>
        <x:v>1</x:v>
      </x:c>
      <x:c r="J122" s="12" t="n">
        <x:f>'Datos_Brutos'!I122</x:f>
        <x:v>21990</x:v>
      </x:c>
      <x:c r="K122" s="12" t="n">
        <x:f>'Datos_Brutos'!J122</x:f>
        <x:v>11000</x:v>
      </x:c>
      <x:c r="L122" s="14" t="n">
        <x:f>'Datos_Brutos'!K122</x:f>
        <x:v>0</x:v>
      </x:c>
      <x:c r="M122" t="str">
        <x:f>VLOOKUP('Datos_Brutos'!L122,Listas!$G$2:$H$10,2,FALSE)</x:f>
        <x:v>Completado</x:v>
      </x:c>
      <x:c r="N122" s="12" t="n">
        <x:f>I122*J122</x:f>
        <x:v>21990</x:v>
      </x:c>
      <x:c r="O122" s="12" t="n">
        <x:f>IF(M122="Cancelado",0,N122*(1-L122))</x:f>
        <x:v>21990</x:v>
      </x:c>
      <x:c r="P122" s="12" t="n">
        <x:f>IF(M122="Cancelado",0,I122*K122)</x:f>
        <x:v>11000</x:v>
      </x:c>
      <x:c r="Q122" s="12" t="n">
        <x:f>O122-P122</x:f>
        <x:v>10990</x:v>
      </x:c>
      <x:c r="R122" s="26" t="n">
        <x:f>IF(O122=0,0,Q122/O122)</x:f>
        <x:v>0.49977262391996363</x:v>
      </x:c>
    </x:row>
    <x:row r="123">
      <x:c r="A123" t="str">
        <x:f>'Datos_Brutos'!A123</x:f>
        <x:v>V-0122</x:v>
      </x:c>
      <x:c r="B123" s="10" t="n">
        <x:f>'Datos_Brutos'!B123</x:f>
        <x:v>46103</x:v>
      </x:c>
      <x:c r="C123" t="str">
        <x:f>TEXT(B123,"yyyy-mm")</x:f>
        <x:v>2026-03</x:v>
      </x:c>
      <x:c r="D123" t="str">
        <x:f>'Datos_Brutos'!C123</x:f>
        <x:v>Cliente 013</x:v>
      </x:c>
      <x:c r="E123" t="str">
        <x:f>'Datos_Brutos'!D123</x:f>
        <x:v>Planner</x:v>
      </x:c>
      <x:c r="F123" t="str">
        <x:f>'Datos_Brutos'!E123</x:f>
        <x:v>Papelería</x:v>
      </x:c>
      <x:c r="G123" t="str">
        <x:f>VLOOKUP('Datos_Brutos'!F123,Listas!$A$2:$B$13,2,FALSE)</x:f>
        <x:v>Valparaíso</x:v>
      </x:c>
      <x:c r="H123" t="str">
        <x:f>VLOOKUP('Datos_Brutos'!G123,Listas!$D$2:$E$10,2,FALSE)</x:f>
        <x:v>Marketplace</x:v>
      </x:c>
      <x:c r="I123" t="n">
        <x:f>'Datos_Brutos'!H123</x:f>
        <x:v>1</x:v>
      </x:c>
      <x:c r="J123" s="12" t="n">
        <x:f>'Datos_Brutos'!I123</x:f>
        <x:v>12990</x:v>
      </x:c>
      <x:c r="K123" s="12" t="n">
        <x:f>'Datos_Brutos'!J123</x:f>
        <x:v>4800</x:v>
      </x:c>
      <x:c r="L123" s="14" t="n">
        <x:f>'Datos_Brutos'!K123</x:f>
        <x:v>0</x:v>
      </x:c>
      <x:c r="M123" t="str">
        <x:f>VLOOKUP('Datos_Brutos'!L123,Listas!$G$2:$H$10,2,FALSE)</x:f>
        <x:v>Completado</x:v>
      </x:c>
      <x:c r="N123" s="12" t="n">
        <x:f>I123*J123</x:f>
        <x:v>12990</x:v>
      </x:c>
      <x:c r="O123" s="12" t="n">
        <x:f>IF(M123="Cancelado",0,N123*(1-L123))</x:f>
        <x:v>12990</x:v>
      </x:c>
      <x:c r="P123" s="12" t="n">
        <x:f>IF(M123="Cancelado",0,I123*K123)</x:f>
        <x:v>4800</x:v>
      </x:c>
      <x:c r="Q123" s="12" t="n">
        <x:f>O123-P123</x:f>
        <x:v>8190</x:v>
      </x:c>
      <x:c r="R123" s="26" t="n">
        <x:f>IF(O123=0,0,Q123/O123)</x:f>
        <x:v>0.6304849884526559</x:v>
      </x:c>
    </x:row>
    <x:row r="124">
      <x:c r="A124" t="str">
        <x:f>'Datos_Brutos'!A124</x:f>
        <x:v>V-0123</x:v>
      </x:c>
      <x:c r="B124" s="10" t="n">
        <x:f>'Datos_Brutos'!B124</x:f>
        <x:v>46213</x:v>
      </x:c>
      <x:c r="C124" t="str">
        <x:f>TEXT(B124,"yyyy-mm")</x:f>
        <x:v>2026-07</x:v>
      </x:c>
      <x:c r="D124" t="str">
        <x:f>'Datos_Brutos'!C124</x:f>
        <x:v>Cliente 046</x:v>
      </x:c>
      <x:c r="E124" t="str">
        <x:f>'Datos_Brutos'!D124</x:f>
        <x:v>Set de lápices</x:v>
      </x:c>
      <x:c r="F124" t="str">
        <x:f>'Datos_Brutos'!E124</x:f>
        <x:v>Papelería</x:v>
      </x:c>
      <x:c r="G124" t="str">
        <x:f>VLOOKUP('Datos_Brutos'!F124,Listas!$A$2:$B$13,2,FALSE)</x:f>
        <x:v>Valparaíso</x:v>
      </x:c>
      <x:c r="H124" t="str">
        <x:f>VLOOKUP('Datos_Brutos'!G124,Listas!$D$2:$E$10,2,FALSE)</x:f>
        <x:v>Web</x:v>
      </x:c>
      <x:c r="I124" t="n">
        <x:f>'Datos_Brutos'!H124</x:f>
        <x:v>1</x:v>
      </x:c>
      <x:c r="J124" s="12" t="n">
        <x:f>'Datos_Brutos'!I124</x:f>
        <x:v>7990</x:v>
      </x:c>
      <x:c r="K124" s="12" t="n">
        <x:f>'Datos_Brutos'!J124</x:f>
        <x:v>2600</x:v>
      </x:c>
      <x:c r="L124" s="14" t="n">
        <x:f>'Datos_Brutos'!K124</x:f>
        <x:v>0</x:v>
      </x:c>
      <x:c r="M124" t="str">
        <x:f>VLOOKUP('Datos_Brutos'!L124,Listas!$G$2:$H$10,2,FALSE)</x:f>
        <x:v>Completado</x:v>
      </x:c>
      <x:c r="N124" s="12" t="n">
        <x:f>I124*J124</x:f>
        <x:v>7990</x:v>
      </x:c>
      <x:c r="O124" s="12" t="n">
        <x:f>IF(M124="Cancelado",0,N124*(1-L124))</x:f>
        <x:v>7990</x:v>
      </x:c>
      <x:c r="P124" s="12" t="n">
        <x:f>IF(M124="Cancelado",0,I124*K124)</x:f>
        <x:v>2600</x:v>
      </x:c>
      <x:c r="Q124" s="12" t="n">
        <x:f>O124-P124</x:f>
        <x:v>5390</x:v>
      </x:c>
      <x:c r="R124" s="26" t="n">
        <x:f>IF(O124=0,0,Q124/O124)</x:f>
        <x:v>0.6745932415519399</x:v>
      </x:c>
    </x:row>
    <x:row r="125">
      <x:c r="A125" t="str">
        <x:f>'Datos_Brutos'!A125</x:f>
        <x:v>V-0124</x:v>
      </x:c>
      <x:c r="B125" s="10" t="n">
        <x:f>'Datos_Brutos'!B125</x:f>
        <x:v>46246</x:v>
      </x:c>
      <x:c r="C125" t="str">
        <x:f>TEXT(B125,"yyyy-mm")</x:f>
        <x:v>2026-08</x:v>
      </x:c>
      <x:c r="D125" t="str">
        <x:f>'Datos_Brutos'!C125</x:f>
        <x:v>Cliente 065</x:v>
      </x:c>
      <x:c r="E125" t="str">
        <x:f>'Datos_Brutos'!D125</x:f>
        <x:v>Planner</x:v>
      </x:c>
      <x:c r="F125" t="str">
        <x:f>'Datos_Brutos'!E125</x:f>
        <x:v>Papelería</x:v>
      </x:c>
      <x:c r="G125" t="str">
        <x:f>VLOOKUP('Datos_Brutos'!F125,Listas!$A$2:$B$13,2,FALSE)</x:f>
        <x:v>Maule</x:v>
      </x:c>
      <x:c r="H125" t="str">
        <x:f>VLOOKUP('Datos_Brutos'!G125,Listas!$D$2:$E$10,2,FALSE)</x:f>
        <x:v>Web</x:v>
      </x:c>
      <x:c r="I125" t="n">
        <x:f>'Datos_Brutos'!H125</x:f>
        <x:v>3</x:v>
      </x:c>
      <x:c r="J125" s="12" t="n">
        <x:f>'Datos_Brutos'!I125</x:f>
        <x:v>12990</x:v>
      </x:c>
      <x:c r="K125" s="12" t="n">
        <x:f>'Datos_Brutos'!J125</x:f>
        <x:v>4800</x:v>
      </x:c>
      <x:c r="L125" s="14" t="n">
        <x:f>'Datos_Brutos'!K125</x:f>
        <x:v>0</x:v>
      </x:c>
      <x:c r="M125" t="str">
        <x:f>VLOOKUP('Datos_Brutos'!L125,Listas!$G$2:$H$10,2,FALSE)</x:f>
        <x:v>Completado</x:v>
      </x:c>
      <x:c r="N125" s="12" t="n">
        <x:f>I125*J125</x:f>
        <x:v>38970</x:v>
      </x:c>
      <x:c r="O125" s="12" t="n">
        <x:f>IF(M125="Cancelado",0,N125*(1-L125))</x:f>
        <x:v>38970</x:v>
      </x:c>
      <x:c r="P125" s="12" t="n">
        <x:f>IF(M125="Cancelado",0,I125*K125)</x:f>
        <x:v>14400</x:v>
      </x:c>
      <x:c r="Q125" s="12" t="n">
        <x:f>O125-P125</x:f>
        <x:v>24570</x:v>
      </x:c>
      <x:c r="R125" s="26" t="n">
        <x:f>IF(O125=0,0,Q125/O125)</x:f>
        <x:v>0.6304849884526559</x:v>
      </x:c>
    </x:row>
    <x:row r="126">
      <x:c r="A126" t="str">
        <x:f>'Datos_Brutos'!A126</x:f>
        <x:v>V-0125</x:v>
      </x:c>
      <x:c r="B126" s="10" t="n">
        <x:f>'Datos_Brutos'!B126</x:f>
        <x:v>46077</x:v>
      </x:c>
      <x:c r="C126" t="str">
        <x:f>TEXT(B126,"yyyy-mm")</x:f>
        <x:v>2026-02</x:v>
      </x:c>
      <x:c r="D126" t="str">
        <x:f>'Datos_Brutos'!C126</x:f>
        <x:v>Cliente 055</x:v>
      </x:c>
      <x:c r="E126" t="str">
        <x:f>'Datos_Brutos'!D126</x:f>
        <x:v>Mouse</x:v>
      </x:c>
      <x:c r="F126" t="str">
        <x:f>'Datos_Brutos'!E126</x:f>
        <x:v>Tecnología</x:v>
      </x:c>
      <x:c r="G126" t="str">
        <x:f>VLOOKUP('Datos_Brutos'!F126,Listas!$A$2:$B$13,2,FALSE)</x:f>
        <x:v>Valparaíso</x:v>
      </x:c>
      <x:c r="H126" t="str">
        <x:f>VLOOKUP('Datos_Brutos'!G126,Listas!$D$2:$E$10,2,FALSE)</x:f>
        <x:v>Web</x:v>
      </x:c>
      <x:c r="I126" t="n">
        <x:f>'Datos_Brutos'!H126</x:f>
        <x:v>2</x:v>
      </x:c>
      <x:c r="J126" s="12" t="n">
        <x:f>'Datos_Brutos'!I126</x:f>
        <x:v>18990</x:v>
      </x:c>
      <x:c r="K126" s="12" t="n">
        <x:f>'Datos_Brutos'!J126</x:f>
        <x:v>9800</x:v>
      </x:c>
      <x:c r="L126" s="14" t="n">
        <x:f>'Datos_Brutos'!K126</x:f>
        <x:v>0</x:v>
      </x:c>
      <x:c r="M126" t="str">
        <x:f>VLOOKUP('Datos_Brutos'!L126,Listas!$G$2:$H$10,2,FALSE)</x:f>
        <x:v>Completado</x:v>
      </x:c>
      <x:c r="N126" s="12" t="n">
        <x:f>I126*J126</x:f>
        <x:v>37980</x:v>
      </x:c>
      <x:c r="O126" s="12" t="n">
        <x:f>IF(M126="Cancelado",0,N126*(1-L126))</x:f>
        <x:v>37980</x:v>
      </x:c>
      <x:c r="P126" s="12" t="n">
        <x:f>IF(M126="Cancelado",0,I126*K126)</x:f>
        <x:v>19600</x:v>
      </x:c>
      <x:c r="Q126" s="12" t="n">
        <x:f>O126-P126</x:f>
        <x:v>18380</x:v>
      </x:c>
      <x:c r="R126" s="26" t="n">
        <x:f>IF(O126=0,0,Q126/O126)</x:f>
        <x:v>0.48393891521853605</x:v>
      </x:c>
    </x:row>
    <x:row r="127">
      <x:c r="A127" t="str">
        <x:f>'Datos_Brutos'!A127</x:f>
        <x:v>V-0126</x:v>
      </x:c>
      <x:c r="B127" s="10" t="n">
        <x:f>'Datos_Brutos'!B127</x:f>
        <x:v>46239</x:v>
      </x:c>
      <x:c r="C127" t="str">
        <x:f>TEXT(B127,"yyyy-mm")</x:f>
        <x:v>2026-08</x:v>
      </x:c>
      <x:c r="D127" t="str">
        <x:f>'Datos_Brutos'!C127</x:f>
        <x:v>Cliente 040</x:v>
      </x:c>
      <x:c r="E127" t="str">
        <x:f>'Datos_Brutos'!D127</x:f>
        <x:v>Mochila</x:v>
      </x:c>
      <x:c r="F127" t="str">
        <x:f>'Datos_Brutos'!E127</x:f>
        <x:v>Moda</x:v>
      </x:c>
      <x:c r="G127" t="str">
        <x:f>VLOOKUP('Datos_Brutos'!F127,Listas!$A$2:$B$13,2,FALSE)</x:f>
        <x:v>Metropolitana</x:v>
      </x:c>
      <x:c r="H127" t="str">
        <x:f>VLOOKUP('Datos_Brutos'!G127,Listas!$D$2:$E$10,2,FALSE)</x:f>
        <x:v>Marketplace</x:v>
      </x:c>
      <x:c r="I127" t="n">
        <x:f>'Datos_Brutos'!H127</x:f>
        <x:v>4</x:v>
      </x:c>
      <x:c r="J127" s="12" t="n">
        <x:f>'Datos_Brutos'!I127</x:f>
        <x:v>26990</x:v>
      </x:c>
      <x:c r="K127" s="12" t="n">
        <x:f>'Datos_Brutos'!J127</x:f>
        <x:v>12000</x:v>
      </x:c>
      <x:c r="L127" s="14" t="n">
        <x:f>'Datos_Brutos'!K127</x:f>
        <x:v>0</x:v>
      </x:c>
      <x:c r="M127" t="str">
        <x:f>VLOOKUP('Datos_Brutos'!L127,Listas!$G$2:$H$10,2,FALSE)</x:f>
        <x:v>Completado</x:v>
      </x:c>
      <x:c r="N127" s="12" t="n">
        <x:f>I127*J127</x:f>
        <x:v>107960</x:v>
      </x:c>
      <x:c r="O127" s="12" t="n">
        <x:f>IF(M127="Cancelado",0,N127*(1-L127))</x:f>
        <x:v>107960</x:v>
      </x:c>
      <x:c r="P127" s="12" t="n">
        <x:f>IF(M127="Cancelado",0,I127*K127)</x:f>
        <x:v>48000</x:v>
      </x:c>
      <x:c r="Q127" s="12" t="n">
        <x:f>O127-P127</x:f>
        <x:v>59960</x:v>
      </x:c>
      <x:c r="R127" s="26" t="n">
        <x:f>IF(O127=0,0,Q127/O127)</x:f>
        <x:v>0.555390885513153</x:v>
      </x:c>
    </x:row>
    <x:row r="128">
      <x:c r="A128" t="str">
        <x:f>'Datos_Brutos'!A128</x:f>
        <x:v>V-0127</x:v>
      </x:c>
      <x:c r="B128" s="10" t="n">
        <x:f>'Datos_Brutos'!B128</x:f>
        <x:v>46258</x:v>
      </x:c>
      <x:c r="C128" t="str">
        <x:f>TEXT(B128,"yyyy-mm")</x:f>
        <x:v>2026-08</x:v>
      </x:c>
      <x:c r="D128" t="str">
        <x:f>'Datos_Brutos'!C128</x:f>
        <x:v>Cliente 004</x:v>
      </x:c>
      <x:c r="E128" t="str">
        <x:f>'Datos_Brutos'!D128</x:f>
        <x:v>Botella térmica</x:v>
      </x:c>
      <x:c r="F128" t="str">
        <x:f>'Datos_Brutos'!E128</x:f>
        <x:v>Hogar</x:v>
      </x:c>
      <x:c r="G128" t="str">
        <x:f>VLOOKUP('Datos_Brutos'!F128,Listas!$A$2:$B$13,2,FALSE)</x:f>
        <x:v>Valparaíso</x:v>
      </x:c>
      <x:c r="H128" t="str">
        <x:f>VLOOKUP('Datos_Brutos'!G128,Listas!$D$2:$E$10,2,FALSE)</x:f>
        <x:v>Instagram</x:v>
      </x:c>
      <x:c r="I128" t="n">
        <x:f>'Datos_Brutos'!H128</x:f>
        <x:v>1</x:v>
      </x:c>
      <x:c r="J128" s="12" t="n">
        <x:f>'Datos_Brutos'!I128</x:f>
        <x:v>17990</x:v>
      </x:c>
      <x:c r="K128" s="12" t="n">
        <x:f>'Datos_Brutos'!J128</x:f>
        <x:v>8300</x:v>
      </x:c>
      <x:c r="L128" s="14" t="n">
        <x:f>'Datos_Brutos'!K128</x:f>
        <x:v>0.05</x:v>
      </x:c>
      <x:c r="M128" t="str">
        <x:f>VLOOKUP('Datos_Brutos'!L128,Listas!$G$2:$H$10,2,FALSE)</x:f>
        <x:v>Completado</x:v>
      </x:c>
      <x:c r="N128" s="12" t="n">
        <x:f>I128*J128</x:f>
        <x:v>17990</x:v>
      </x:c>
      <x:c r="O128" s="12" t="n">
        <x:f>IF(M128="Cancelado",0,N128*(1-L128))</x:f>
        <x:v>17090.5</x:v>
      </x:c>
      <x:c r="P128" s="12" t="n">
        <x:f>IF(M128="Cancelado",0,I128*K128)</x:f>
        <x:v>8300</x:v>
      </x:c>
      <x:c r="Q128" s="12" t="n">
        <x:f>O128-P128</x:f>
        <x:v>8790.5</x:v>
      </x:c>
      <x:c r="R128" s="26" t="n">
        <x:f>IF(O128=0,0,Q128/O128)</x:f>
        <x:v>0.5143500775284515</x:v>
      </x:c>
    </x:row>
    <x:row r="129">
      <x:c r="A129" t="str">
        <x:f>'Datos_Brutos'!A129</x:f>
        <x:v>V-0128</x:v>
      </x:c>
      <x:c r="B129" s="10" t="n">
        <x:f>'Datos_Brutos'!B129</x:f>
        <x:v>46046</x:v>
      </x:c>
      <x:c r="C129" t="str">
        <x:f>TEXT(B129,"yyyy-mm")</x:f>
        <x:v>2026-01</x:v>
      </x:c>
      <x:c r="D129" t="str">
        <x:f>'Datos_Brutos'!C129</x:f>
        <x:v>Cliente 073</x:v>
      </x:c>
      <x:c r="E129" t="str">
        <x:f>'Datos_Brutos'!D129</x:f>
        <x:v>Set de lápices</x:v>
      </x:c>
      <x:c r="F129" t="str">
        <x:f>'Datos_Brutos'!E129</x:f>
        <x:v>Papelería</x:v>
      </x:c>
      <x:c r="G129" t="str">
        <x:f>VLOOKUP('Datos_Brutos'!F129,Listas!$A$2:$B$13,2,FALSE)</x:f>
        <x:v>Maule</x:v>
      </x:c>
      <x:c r="H129" t="str">
        <x:f>VLOOKUP('Datos_Brutos'!G129,Listas!$D$2:$E$10,2,FALSE)</x:f>
        <x:v>Web</x:v>
      </x:c>
      <x:c r="I129" t="n">
        <x:f>'Datos_Brutos'!H129</x:f>
        <x:v>1</x:v>
      </x:c>
      <x:c r="J129" s="12" t="n">
        <x:f>'Datos_Brutos'!I129</x:f>
        <x:v>7990</x:v>
      </x:c>
      <x:c r="K129" s="12" t="n">
        <x:f>'Datos_Brutos'!J129</x:f>
        <x:v>2600</x:v>
      </x:c>
      <x:c r="L129" s="14" t="n">
        <x:f>'Datos_Brutos'!K129</x:f>
        <x:v>0</x:v>
      </x:c>
      <x:c r="M129" t="str">
        <x:f>VLOOKUP('Datos_Brutos'!L129,Listas!$G$2:$H$10,2,FALSE)</x:f>
        <x:v>Completado</x:v>
      </x:c>
      <x:c r="N129" s="12" t="n">
        <x:f>I129*J129</x:f>
        <x:v>7990</x:v>
      </x:c>
      <x:c r="O129" s="12" t="n">
        <x:f>IF(M129="Cancelado",0,N129*(1-L129))</x:f>
        <x:v>7990</x:v>
      </x:c>
      <x:c r="P129" s="12" t="n">
        <x:f>IF(M129="Cancelado",0,I129*K129)</x:f>
        <x:v>2600</x:v>
      </x:c>
      <x:c r="Q129" s="12" t="n">
        <x:f>O129-P129</x:f>
        <x:v>5390</x:v>
      </x:c>
      <x:c r="R129" s="26" t="n">
        <x:f>IF(O129=0,0,Q129/O129)</x:f>
        <x:v>0.6745932415519399</x:v>
      </x:c>
    </x:row>
    <x:row r="130">
      <x:c r="A130" t="str">
        <x:f>'Datos_Brutos'!A130</x:f>
        <x:v>V-0129</x:v>
      </x:c>
      <x:c r="B130" s="10" t="n">
        <x:f>'Datos_Brutos'!B130</x:f>
        <x:v>46175</x:v>
      </x:c>
      <x:c r="C130" t="str">
        <x:f>TEXT(B130,"yyyy-mm")</x:f>
        <x:v>2026-06</x:v>
      </x:c>
      <x:c r="D130" t="str">
        <x:f>'Datos_Brutos'!C130</x:f>
        <x:v>Cliente 055</x:v>
      </x:c>
      <x:c r="E130" t="str">
        <x:f>'Datos_Brutos'!D130</x:f>
        <x:v>Teclado</x:v>
      </x:c>
      <x:c r="F130" t="str">
        <x:f>'Datos_Brutos'!E130</x:f>
        <x:v>Tecnología</x:v>
      </x:c>
      <x:c r="G130" t="str">
        <x:f>VLOOKUP('Datos_Brutos'!F130,Listas!$A$2:$B$13,2,FALSE)</x:f>
        <x:v>Valparaíso</x:v>
      </x:c>
      <x:c r="H130" t="str">
        <x:f>VLOOKUP('Datos_Brutos'!G130,Listas!$D$2:$E$10,2,FALSE)</x:f>
        <x:v>Instagram</x:v>
      </x:c>
      <x:c r="I130" t="n">
        <x:f>'Datos_Brutos'!H130</x:f>
        <x:v>3</x:v>
      </x:c>
      <x:c r="J130" s="12" t="n">
        <x:f>'Datos_Brutos'!I130</x:f>
        <x:v>32990</x:v>
      </x:c>
      <x:c r="K130" s="12" t="n">
        <x:f>'Datos_Brutos'!J130</x:f>
        <x:v>18500</x:v>
      </x:c>
      <x:c r="L130" s="14" t="n">
        <x:f>'Datos_Brutos'!K130</x:f>
        <x:v>0</x:v>
      </x:c>
      <x:c r="M130" t="str">
        <x:f>VLOOKUP('Datos_Brutos'!L130,Listas!$G$2:$H$10,2,FALSE)</x:f>
        <x:v>Completado</x:v>
      </x:c>
      <x:c r="N130" s="12" t="n">
        <x:f>I130*J130</x:f>
        <x:v>98970</x:v>
      </x:c>
      <x:c r="O130" s="12" t="n">
        <x:f>IF(M130="Cancelado",0,N130*(1-L130))</x:f>
        <x:v>98970</x:v>
      </x:c>
      <x:c r="P130" s="12" t="n">
        <x:f>IF(M130="Cancelado",0,I130*K130)</x:f>
        <x:v>55500</x:v>
      </x:c>
      <x:c r="Q130" s="12" t="n">
        <x:f>O130-P130</x:f>
        <x:v>43470</x:v>
      </x:c>
      <x:c r="R130" s="26" t="n">
        <x:f>IF(O130=0,0,Q130/O130)</x:f>
        <x:v>0.43922400727493177</x:v>
      </x:c>
    </x:row>
    <x:row r="131">
      <x:c r="A131" t="str">
        <x:f>'Datos_Brutos'!A131</x:f>
        <x:v>V-0130</x:v>
      </x:c>
      <x:c r="B131" s="10" t="n">
        <x:f>'Datos_Brutos'!B131</x:f>
        <x:v>46147</x:v>
      </x:c>
      <x:c r="C131" t="str">
        <x:f>TEXT(B131,"yyyy-mm")</x:f>
        <x:v>2026-05</x:v>
      </x:c>
      <x:c r="D131" t="str">
        <x:f>'Datos_Brutos'!C131</x:f>
        <x:v>Cliente 063</x:v>
      </x:c>
      <x:c r="E131" t="str">
        <x:f>'Datos_Brutos'!D131</x:f>
        <x:v>Cuaderno premium</x:v>
      </x:c>
      <x:c r="F131" t="str">
        <x:f>'Datos_Brutos'!E131</x:f>
        <x:v>Papelería</x:v>
      </x:c>
      <x:c r="G131" t="str">
        <x:f>VLOOKUP('Datos_Brutos'!F131,Listas!$A$2:$B$13,2,FALSE)</x:f>
        <x:v>Biobío</x:v>
      </x:c>
      <x:c r="H131" t="str">
        <x:f>VLOOKUP('Datos_Brutos'!G131,Listas!$D$2:$E$10,2,FALSE)</x:f>
        <x:v>Instagram</x:v>
      </x:c>
      <x:c r="I131" t="n">
        <x:f>'Datos_Brutos'!H131</x:f>
        <x:v>1</x:v>
      </x:c>
      <x:c r="J131" s="12" t="n">
        <x:f>'Datos_Brutos'!I131</x:f>
        <x:v>9990</x:v>
      </x:c>
      <x:c r="K131" s="12" t="n">
        <x:f>'Datos_Brutos'!J131</x:f>
        <x:v>3900</x:v>
      </x:c>
      <x:c r="L131" s="14" t="n">
        <x:f>'Datos_Brutos'!K131</x:f>
        <x:v>0</x:v>
      </x:c>
      <x:c r="M131" t="str">
        <x:f>VLOOKUP('Datos_Brutos'!L131,Listas!$G$2:$H$10,2,FALSE)</x:f>
        <x:v>Completado</x:v>
      </x:c>
      <x:c r="N131" s="12" t="n">
        <x:f>I131*J131</x:f>
        <x:v>9990</x:v>
      </x:c>
      <x:c r="O131" s="12" t="n">
        <x:f>IF(M131="Cancelado",0,N131*(1-L131))</x:f>
        <x:v>9990</x:v>
      </x:c>
      <x:c r="P131" s="12" t="n">
        <x:f>IF(M131="Cancelado",0,I131*K131)</x:f>
        <x:v>3900</x:v>
      </x:c>
      <x:c r="Q131" s="12" t="n">
        <x:f>O131-P131</x:f>
        <x:v>6090</x:v>
      </x:c>
      <x:c r="R131" s="26" t="n">
        <x:f>IF(O131=0,0,Q131/O131)</x:f>
        <x:v>0.6096096096096096</x:v>
      </x:c>
    </x:row>
    <x:row r="132">
      <x:c r="A132" t="str">
        <x:f>'Datos_Brutos'!A132</x:f>
        <x:v>V-0131</x:v>
      </x:c>
      <x:c r="B132" s="10" t="n">
        <x:f>'Datos_Brutos'!B132</x:f>
        <x:v>46157</x:v>
      </x:c>
      <x:c r="C132" t="str">
        <x:f>TEXT(B132,"yyyy-mm")</x:f>
        <x:v>2026-05</x:v>
      </x:c>
      <x:c r="D132" t="str">
        <x:f>'Datos_Brutos'!C132</x:f>
        <x:v>Cliente 018</x:v>
      </x:c>
      <x:c r="E132" t="str">
        <x:f>'Datos_Brutos'!D132</x:f>
        <x:v>Planner</x:v>
      </x:c>
      <x:c r="F132" t="str">
        <x:f>'Datos_Brutos'!E132</x:f>
        <x:v>Papelería</x:v>
      </x:c>
      <x:c r="G132" t="str">
        <x:f>VLOOKUP('Datos_Brutos'!F132,Listas!$A$2:$B$13,2,FALSE)</x:f>
        <x:v>Valparaíso</x:v>
      </x:c>
      <x:c r="H132" t="str">
        <x:f>VLOOKUP('Datos_Brutos'!G132,Listas!$D$2:$E$10,2,FALSE)</x:f>
        <x:v>Marketplace</x:v>
      </x:c>
      <x:c r="I132" t="n">
        <x:f>'Datos_Brutos'!H132</x:f>
        <x:v>1</x:v>
      </x:c>
      <x:c r="J132" s="12" t="n">
        <x:f>'Datos_Brutos'!I132</x:f>
        <x:v>12990</x:v>
      </x:c>
      <x:c r="K132" s="12" t="n">
        <x:f>'Datos_Brutos'!J132</x:f>
        <x:v>4800</x:v>
      </x:c>
      <x:c r="L132" s="14" t="n">
        <x:f>'Datos_Brutos'!K132</x:f>
        <x:v>0.1</x:v>
      </x:c>
      <x:c r="M132" t="str">
        <x:f>VLOOKUP('Datos_Brutos'!L132,Listas!$G$2:$H$10,2,FALSE)</x:f>
        <x:v>Completado</x:v>
      </x:c>
      <x:c r="N132" s="12" t="n">
        <x:f>I132*J132</x:f>
        <x:v>12990</x:v>
      </x:c>
      <x:c r="O132" s="12" t="n">
        <x:f>IF(M132="Cancelado",0,N132*(1-L132))</x:f>
        <x:v>11691</x:v>
      </x:c>
      <x:c r="P132" s="12" t="n">
        <x:f>IF(M132="Cancelado",0,I132*K132)</x:f>
        <x:v>4800</x:v>
      </x:c>
      <x:c r="Q132" s="12" t="n">
        <x:f>O132-P132</x:f>
        <x:v>6891</x:v>
      </x:c>
      <x:c r="R132" s="26" t="n">
        <x:f>IF(O132=0,0,Q132/O132)</x:f>
        <x:v>0.5894277649473955</x:v>
      </x:c>
    </x:row>
    <x:row r="133">
      <x:c r="A133" t="str">
        <x:f>'Datos_Brutos'!A133</x:f>
        <x:v>V-0132</x:v>
      </x:c>
      <x:c r="B133" s="10" t="n">
        <x:f>'Datos_Brutos'!B133</x:f>
        <x:v>46218</x:v>
      </x:c>
      <x:c r="C133" t="str">
        <x:f>TEXT(B133,"yyyy-mm")</x:f>
        <x:v>2026-07</x:v>
      </x:c>
      <x:c r="D133" t="str">
        <x:f>'Datos_Brutos'!C133</x:f>
        <x:v>Cliente 030</x:v>
      </x:c>
      <x:c r="E133" t="str">
        <x:f>'Datos_Brutos'!D133</x:f>
        <x:v>Organizador</x:v>
      </x:c>
      <x:c r="F133" t="str">
        <x:f>'Datos_Brutos'!E133</x:f>
        <x:v>Hogar</x:v>
      </x:c>
      <x:c r="G133" t="str">
        <x:f>VLOOKUP('Datos_Brutos'!F133,Listas!$A$2:$B$13,2,FALSE)</x:f>
        <x:v>Metropolitana</x:v>
      </x:c>
      <x:c r="H133" t="str">
        <x:f>VLOOKUP('Datos_Brutos'!G133,Listas!$D$2:$E$10,2,FALSE)</x:f>
        <x:v>Web</x:v>
      </x:c>
      <x:c r="I133" t="n">
        <x:f>'Datos_Brutos'!H133</x:f>
        <x:v>1</x:v>
      </x:c>
      <x:c r="J133" s="12" t="n">
        <x:f>'Datos_Brutos'!I133</x:f>
        <x:v>14990</x:v>
      </x:c>
      <x:c r="K133" s="12" t="n">
        <x:f>'Datos_Brutos'!J133</x:f>
        <x:v>7200</x:v>
      </x:c>
      <x:c r="L133" s="14" t="n">
        <x:f>'Datos_Brutos'!K133</x:f>
        <x:v>0</x:v>
      </x:c>
      <x:c r="M133" t="str">
        <x:f>VLOOKUP('Datos_Brutos'!L133,Listas!$G$2:$H$10,2,FALSE)</x:f>
        <x:v>Completado</x:v>
      </x:c>
      <x:c r="N133" s="12" t="n">
        <x:f>I133*J133</x:f>
        <x:v>14990</x:v>
      </x:c>
      <x:c r="O133" s="12" t="n">
        <x:f>IF(M133="Cancelado",0,N133*(1-L133))</x:f>
        <x:v>14990</x:v>
      </x:c>
      <x:c r="P133" s="12" t="n">
        <x:f>IF(M133="Cancelado",0,I133*K133)</x:f>
        <x:v>7200</x:v>
      </x:c>
      <x:c r="Q133" s="12" t="n">
        <x:f>O133-P133</x:f>
        <x:v>7790</x:v>
      </x:c>
      <x:c r="R133" s="26" t="n">
        <x:f>IF(O133=0,0,Q133/O133)</x:f>
        <x:v>0.5196797865243495</x:v>
      </x:c>
    </x:row>
    <x:row r="134">
      <x:c r="A134" t="str">
        <x:f>'Datos_Brutos'!A134</x:f>
        <x:v>V-0133</x:v>
      </x:c>
      <x:c r="B134" s="10" t="n">
        <x:f>'Datos_Brutos'!B134</x:f>
        <x:v>46151</x:v>
      </x:c>
      <x:c r="C134" t="str">
        <x:f>TEXT(B134,"yyyy-mm")</x:f>
        <x:v>2026-05</x:v>
      </x:c>
      <x:c r="D134" t="str">
        <x:f>'Datos_Brutos'!C134</x:f>
        <x:v>Cliente 010</x:v>
      </x:c>
      <x:c r="E134" t="str">
        <x:f>'Datos_Brutos'!D134</x:f>
        <x:v>Mochila</x:v>
      </x:c>
      <x:c r="F134" t="str">
        <x:f>'Datos_Brutos'!E134</x:f>
        <x:v>Moda</x:v>
      </x:c>
      <x:c r="G134" t="str">
        <x:f>VLOOKUP('Datos_Brutos'!F134,Listas!$A$2:$B$13,2,FALSE)</x:f>
        <x:v>Biobío</x:v>
      </x:c>
      <x:c r="H134" t="str">
        <x:f>VLOOKUP('Datos_Brutos'!G134,Listas!$D$2:$E$10,2,FALSE)</x:f>
        <x:v>Web</x:v>
      </x:c>
      <x:c r="I134" t="n">
        <x:f>'Datos_Brutos'!H134</x:f>
        <x:v>2</x:v>
      </x:c>
      <x:c r="J134" s="12" t="n">
        <x:f>'Datos_Brutos'!I134</x:f>
        <x:v>26990</x:v>
      </x:c>
      <x:c r="K134" s="12" t="n">
        <x:f>'Datos_Brutos'!J134</x:f>
        <x:v>12000</x:v>
      </x:c>
      <x:c r="L134" s="14" t="n">
        <x:f>'Datos_Brutos'!K134</x:f>
        <x:v>0</x:v>
      </x:c>
      <x:c r="M134" t="str">
        <x:f>VLOOKUP('Datos_Brutos'!L134,Listas!$G$2:$H$10,2,FALSE)</x:f>
        <x:v>Completado</x:v>
      </x:c>
      <x:c r="N134" s="12" t="n">
        <x:f>I134*J134</x:f>
        <x:v>53980</x:v>
      </x:c>
      <x:c r="O134" s="12" t="n">
        <x:f>IF(M134="Cancelado",0,N134*(1-L134))</x:f>
        <x:v>53980</x:v>
      </x:c>
      <x:c r="P134" s="12" t="n">
        <x:f>IF(M134="Cancelado",0,I134*K134)</x:f>
        <x:v>24000</x:v>
      </x:c>
      <x:c r="Q134" s="12" t="n">
        <x:f>O134-P134</x:f>
        <x:v>29980</x:v>
      </x:c>
      <x:c r="R134" s="26" t="n">
        <x:f>IF(O134=0,0,Q134/O134)</x:f>
        <x:v>0.555390885513153</x:v>
      </x:c>
    </x:row>
    <x:row r="135">
      <x:c r="A135" t="str">
        <x:f>'Datos_Brutos'!A135</x:f>
        <x:v>V-0134</x:v>
      </x:c>
      <x:c r="B135" s="10" t="n">
        <x:f>'Datos_Brutos'!B135</x:f>
        <x:v>46243</x:v>
      </x:c>
      <x:c r="C135" t="str">
        <x:f>TEXT(B135,"yyyy-mm")</x:f>
        <x:v>2026-08</x:v>
      </x:c>
      <x:c r="D135" t="str">
        <x:f>'Datos_Brutos'!C135</x:f>
        <x:v>Cliente 022</x:v>
      </x:c>
      <x:c r="E135" t="str">
        <x:f>'Datos_Brutos'!D135</x:f>
        <x:v>Botella térmica</x:v>
      </x:c>
      <x:c r="F135" t="str">
        <x:f>'Datos_Brutos'!E135</x:f>
        <x:v>Hogar</x:v>
      </x:c>
      <x:c r="G135" t="str">
        <x:f>VLOOKUP('Datos_Brutos'!F135,Listas!$A$2:$B$13,2,FALSE)</x:f>
        <x:v>Maule</x:v>
      </x:c>
      <x:c r="H135" t="str">
        <x:f>VLOOKUP('Datos_Brutos'!G135,Listas!$D$2:$E$10,2,FALSE)</x:f>
        <x:v>Instagram</x:v>
      </x:c>
      <x:c r="I135" t="n">
        <x:f>'Datos_Brutos'!H135</x:f>
        <x:v>1</x:v>
      </x:c>
      <x:c r="J135" s="12" t="n">
        <x:f>'Datos_Brutos'!I135</x:f>
        <x:v>17990</x:v>
      </x:c>
      <x:c r="K135" s="12" t="n">
        <x:f>'Datos_Brutos'!J135</x:f>
        <x:v>8300</x:v>
      </x:c>
      <x:c r="L135" s="14" t="n">
        <x:f>'Datos_Brutos'!K135</x:f>
        <x:v>0.15</x:v>
      </x:c>
      <x:c r="M135" t="str">
        <x:f>VLOOKUP('Datos_Brutos'!L135,Listas!$G$2:$H$10,2,FALSE)</x:f>
        <x:v>Completado</x:v>
      </x:c>
      <x:c r="N135" s="12" t="n">
        <x:f>I135*J135</x:f>
        <x:v>17990</x:v>
      </x:c>
      <x:c r="O135" s="12" t="n">
        <x:f>IF(M135="Cancelado",0,N135*(1-L135))</x:f>
        <x:v>15291.5</x:v>
      </x:c>
      <x:c r="P135" s="12" t="n">
        <x:f>IF(M135="Cancelado",0,I135*K135)</x:f>
        <x:v>8300</x:v>
      </x:c>
      <x:c r="Q135" s="12" t="n">
        <x:f>O135-P135</x:f>
        <x:v>6991.5</x:v>
      </x:c>
      <x:c r="R135" s="26" t="n">
        <x:f>IF(O135=0,0,Q135/O135)</x:f>
        <x:v>0.4572147925317987</x:v>
      </x:c>
    </x:row>
    <x:row r="136">
      <x:c r="A136" t="str">
        <x:f>'Datos_Brutos'!A136</x:f>
        <x:v>V-0135</x:v>
      </x:c>
      <x:c r="B136" s="10" t="n">
        <x:f>'Datos_Brutos'!B136</x:f>
        <x:v>46228</x:v>
      </x:c>
      <x:c r="C136" t="str">
        <x:f>TEXT(B136,"yyyy-mm")</x:f>
        <x:v>2026-07</x:v>
      </x:c>
      <x:c r="D136" t="str">
        <x:f>'Datos_Brutos'!C136</x:f>
        <x:v>Cliente 011</x:v>
      </x:c>
      <x:c r="E136" t="str">
        <x:f>'Datos_Brutos'!D136</x:f>
        <x:v>Cuaderno premium</x:v>
      </x:c>
      <x:c r="F136" t="str">
        <x:f>'Datos_Brutos'!E136</x:f>
        <x:v>Papelería</x:v>
      </x:c>
      <x:c r="G136" t="str">
        <x:f>VLOOKUP('Datos_Brutos'!F136,Listas!$A$2:$B$13,2,FALSE)</x:f>
        <x:v>Biobío</x:v>
      </x:c>
      <x:c r="H136" t="str">
        <x:f>VLOOKUP('Datos_Brutos'!G136,Listas!$D$2:$E$10,2,FALSE)</x:f>
        <x:v>Web</x:v>
      </x:c>
      <x:c r="I136" t="n">
        <x:f>'Datos_Brutos'!H136</x:f>
        <x:v>1</x:v>
      </x:c>
      <x:c r="J136" s="12" t="n">
        <x:f>'Datos_Brutos'!I136</x:f>
        <x:v>9990</x:v>
      </x:c>
      <x:c r="K136" s="12" t="n">
        <x:f>'Datos_Brutos'!J136</x:f>
        <x:v>3900</x:v>
      </x:c>
      <x:c r="L136" s="14" t="n">
        <x:f>'Datos_Brutos'!K136</x:f>
        <x:v>0</x:v>
      </x:c>
      <x:c r="M136" t="str">
        <x:f>VLOOKUP('Datos_Brutos'!L136,Listas!$G$2:$H$10,2,FALSE)</x:f>
        <x:v>Completado</x:v>
      </x:c>
      <x:c r="N136" s="12" t="n">
        <x:f>I136*J136</x:f>
        <x:v>9990</x:v>
      </x:c>
      <x:c r="O136" s="12" t="n">
        <x:f>IF(M136="Cancelado",0,N136*(1-L136))</x:f>
        <x:v>9990</x:v>
      </x:c>
      <x:c r="P136" s="12" t="n">
        <x:f>IF(M136="Cancelado",0,I136*K136)</x:f>
        <x:v>3900</x:v>
      </x:c>
      <x:c r="Q136" s="12" t="n">
        <x:f>O136-P136</x:f>
        <x:v>6090</x:v>
      </x:c>
      <x:c r="R136" s="26" t="n">
        <x:f>IF(O136=0,0,Q136/O136)</x:f>
        <x:v>0.6096096096096096</x:v>
      </x:c>
    </x:row>
    <x:row r="137">
      <x:c r="A137" t="str">
        <x:f>'Datos_Brutos'!A137</x:f>
        <x:v>V-0136</x:v>
      </x:c>
      <x:c r="B137" s="10" t="n">
        <x:f>'Datos_Brutos'!B137</x:f>
        <x:v>46124</x:v>
      </x:c>
      <x:c r="C137" t="str">
        <x:f>TEXT(B137,"yyyy-mm")</x:f>
        <x:v>2026-04</x:v>
      </x:c>
      <x:c r="D137" t="str">
        <x:f>'Datos_Brutos'!C137</x:f>
        <x:v>Cliente 025</x:v>
      </x:c>
      <x:c r="E137" t="str">
        <x:f>'Datos_Brutos'!D137</x:f>
        <x:v>Organizador</x:v>
      </x:c>
      <x:c r="F137" t="str">
        <x:f>'Datos_Brutos'!E137</x:f>
        <x:v>Hogar</x:v>
      </x:c>
      <x:c r="G137" t="str">
        <x:f>VLOOKUP('Datos_Brutos'!F137,Listas!$A$2:$B$13,2,FALSE)</x:f>
        <x:v>Valparaíso</x:v>
      </x:c>
      <x:c r="H137" t="str">
        <x:f>VLOOKUP('Datos_Brutos'!G137,Listas!$D$2:$E$10,2,FALSE)</x:f>
        <x:v>Instagram</x:v>
      </x:c>
      <x:c r="I137" t="n">
        <x:f>'Datos_Brutos'!H137</x:f>
        <x:v>2</x:v>
      </x:c>
      <x:c r="J137" s="12" t="n">
        <x:f>'Datos_Brutos'!I137</x:f>
        <x:v>14990</x:v>
      </x:c>
      <x:c r="K137" s="12" t="n">
        <x:f>'Datos_Brutos'!J137</x:f>
        <x:v>7200</x:v>
      </x:c>
      <x:c r="L137" s="14" t="n">
        <x:f>'Datos_Brutos'!K137</x:f>
        <x:v>0</x:v>
      </x:c>
      <x:c r="M137" t="str">
        <x:f>VLOOKUP('Datos_Brutos'!L137,Listas!$G$2:$H$10,2,FALSE)</x:f>
        <x:v>Completado</x:v>
      </x:c>
      <x:c r="N137" s="12" t="n">
        <x:f>I137*J137</x:f>
        <x:v>29980</x:v>
      </x:c>
      <x:c r="O137" s="12" t="n">
        <x:f>IF(M137="Cancelado",0,N137*(1-L137))</x:f>
        <x:v>29980</x:v>
      </x:c>
      <x:c r="P137" s="12" t="n">
        <x:f>IF(M137="Cancelado",0,I137*K137)</x:f>
        <x:v>14400</x:v>
      </x:c>
      <x:c r="Q137" s="12" t="n">
        <x:f>O137-P137</x:f>
        <x:v>15580</x:v>
      </x:c>
      <x:c r="R137" s="26" t="n">
        <x:f>IF(O137=0,0,Q137/O137)</x:f>
        <x:v>0.5196797865243495</x:v>
      </x:c>
    </x:row>
    <x:row r="138">
      <x:c r="A138" t="str">
        <x:f>'Datos_Brutos'!A138</x:f>
        <x:v>V-0137</x:v>
      </x:c>
      <x:c r="B138" s="10" t="n">
        <x:f>'Datos_Brutos'!B138</x:f>
        <x:v>46254</x:v>
      </x:c>
      <x:c r="C138" t="str">
        <x:f>TEXT(B138,"yyyy-mm")</x:f>
        <x:v>2026-08</x:v>
      </x:c>
      <x:c r="D138" t="str">
        <x:f>'Datos_Brutos'!C138</x:f>
        <x:v>Cliente 010</x:v>
      </x:c>
      <x:c r="E138" t="str">
        <x:f>'Datos_Brutos'!D138</x:f>
        <x:v>Botella térmica</x:v>
      </x:c>
      <x:c r="F138" t="str">
        <x:f>'Datos_Brutos'!E138</x:f>
        <x:v>Hogar</x:v>
      </x:c>
      <x:c r="G138" t="str">
        <x:f>VLOOKUP('Datos_Brutos'!F138,Listas!$A$2:$B$13,2,FALSE)</x:f>
        <x:v>Valparaíso</x:v>
      </x:c>
      <x:c r="H138" t="str">
        <x:f>VLOOKUP('Datos_Brutos'!G138,Listas!$D$2:$E$10,2,FALSE)</x:f>
        <x:v>Web</x:v>
      </x:c>
      <x:c r="I138" t="n">
        <x:f>'Datos_Brutos'!H138</x:f>
        <x:v>1</x:v>
      </x:c>
      <x:c r="J138" s="12" t="n">
        <x:f>'Datos_Brutos'!I138</x:f>
        <x:v>17990</x:v>
      </x:c>
      <x:c r="K138" s="12" t="n">
        <x:f>'Datos_Brutos'!J138</x:f>
        <x:v>8300</x:v>
      </x:c>
      <x:c r="L138" s="14" t="n">
        <x:f>'Datos_Brutos'!K138</x:f>
        <x:v>0</x:v>
      </x:c>
      <x:c r="M138" t="str">
        <x:f>VLOOKUP('Datos_Brutos'!L138,Listas!$G$2:$H$10,2,FALSE)</x:f>
        <x:v>Completado</x:v>
      </x:c>
      <x:c r="N138" s="12" t="n">
        <x:f>I138*J138</x:f>
        <x:v>17990</x:v>
      </x:c>
      <x:c r="O138" s="12" t="n">
        <x:f>IF(M138="Cancelado",0,N138*(1-L138))</x:f>
        <x:v>17990</x:v>
      </x:c>
      <x:c r="P138" s="12" t="n">
        <x:f>IF(M138="Cancelado",0,I138*K138)</x:f>
        <x:v>8300</x:v>
      </x:c>
      <x:c r="Q138" s="12" t="n">
        <x:f>O138-P138</x:f>
        <x:v>9690</x:v>
      </x:c>
      <x:c r="R138" s="26" t="n">
        <x:f>IF(O138=0,0,Q138/O138)</x:f>
        <x:v>0.5386325736520289</x:v>
      </x:c>
    </x:row>
    <x:row r="139">
      <x:c r="A139" t="str">
        <x:f>'Datos_Brutos'!A139</x:f>
        <x:v>V-0138</x:v>
      </x:c>
      <x:c r="B139" s="10" t="n">
        <x:f>'Datos_Brutos'!B139</x:f>
        <x:v>46068</x:v>
      </x:c>
      <x:c r="C139" t="str">
        <x:f>TEXT(B139,"yyyy-mm")</x:f>
        <x:v>2026-02</x:v>
      </x:c>
      <x:c r="D139" t="str">
        <x:f>'Datos_Brutos'!C139</x:f>
        <x:v>Cliente 041</x:v>
      </x:c>
      <x:c r="E139" t="str">
        <x:f>'Datos_Brutos'!D139</x:f>
        <x:v>Planner</x:v>
      </x:c>
      <x:c r="F139" t="str">
        <x:f>'Datos_Brutos'!E139</x:f>
        <x:v>Papelería</x:v>
      </x:c>
      <x:c r="G139" t="str">
        <x:f>VLOOKUP('Datos_Brutos'!F139,Listas!$A$2:$B$13,2,FALSE)</x:f>
        <x:v>Maule</x:v>
      </x:c>
      <x:c r="H139" t="str">
        <x:f>VLOOKUP('Datos_Brutos'!G139,Listas!$D$2:$E$10,2,FALSE)</x:f>
        <x:v>Marketplace</x:v>
      </x:c>
      <x:c r="I139" t="n">
        <x:f>'Datos_Brutos'!H139</x:f>
        <x:v>1</x:v>
      </x:c>
      <x:c r="J139" s="12" t="n">
        <x:f>'Datos_Brutos'!I139</x:f>
        <x:v>12990</x:v>
      </x:c>
      <x:c r="K139" s="12" t="n">
        <x:f>'Datos_Brutos'!J139</x:f>
        <x:v>4800</x:v>
      </x:c>
      <x:c r="L139" s="14" t="n">
        <x:f>'Datos_Brutos'!K139</x:f>
        <x:v>0</x:v>
      </x:c>
      <x:c r="M139" t="str">
        <x:f>VLOOKUP('Datos_Brutos'!L139,Listas!$G$2:$H$10,2,FALSE)</x:f>
        <x:v>Completado</x:v>
      </x:c>
      <x:c r="N139" s="12" t="n">
        <x:f>I139*J139</x:f>
        <x:v>12990</x:v>
      </x:c>
      <x:c r="O139" s="12" t="n">
        <x:f>IF(M139="Cancelado",0,N139*(1-L139))</x:f>
        <x:v>12990</x:v>
      </x:c>
      <x:c r="P139" s="12" t="n">
        <x:f>IF(M139="Cancelado",0,I139*K139)</x:f>
        <x:v>4800</x:v>
      </x:c>
      <x:c r="Q139" s="12" t="n">
        <x:f>O139-P139</x:f>
        <x:v>8190</x:v>
      </x:c>
      <x:c r="R139" s="26" t="n">
        <x:f>IF(O139=0,0,Q139/O139)</x:f>
        <x:v>0.6304849884526559</x:v>
      </x:c>
    </x:row>
    <x:row r="140">
      <x:c r="A140" t="str">
        <x:f>'Datos_Brutos'!A140</x:f>
        <x:v>V-0139</x:v>
      </x:c>
      <x:c r="B140" s="10" t="n">
        <x:f>'Datos_Brutos'!B140</x:f>
        <x:v>46061</x:v>
      </x:c>
      <x:c r="C140" t="str">
        <x:f>TEXT(B140,"yyyy-mm")</x:f>
        <x:v>2026-02</x:v>
      </x:c>
      <x:c r="D140" t="str">
        <x:f>'Datos_Brutos'!C140</x:f>
        <x:v>Cliente 040</x:v>
      </x:c>
      <x:c r="E140" t="str">
        <x:f>'Datos_Brutos'!D140</x:f>
        <x:v>Polerón</x:v>
      </x:c>
      <x:c r="F140" t="str">
        <x:f>'Datos_Brutos'!E140</x:f>
        <x:v>Moda</x:v>
      </x:c>
      <x:c r="G140" t="str">
        <x:f>VLOOKUP('Datos_Brutos'!F140,Listas!$A$2:$B$13,2,FALSE)</x:f>
        <x:v>Maule</x:v>
      </x:c>
      <x:c r="H140" t="str">
        <x:f>VLOOKUP('Datos_Brutos'!G140,Listas!$D$2:$E$10,2,FALSE)</x:f>
        <x:v>Web</x:v>
      </x:c>
      <x:c r="I140" t="n">
        <x:f>'Datos_Brutos'!H140</x:f>
        <x:v>1</x:v>
      </x:c>
      <x:c r="J140" s="12" t="n">
        <x:f>'Datos_Brutos'!I140</x:f>
        <x:v>29990</x:v>
      </x:c>
      <x:c r="K140" s="12" t="n">
        <x:f>'Datos_Brutos'!J140</x:f>
        <x:v>13500</x:v>
      </x:c>
      <x:c r="L140" s="14" t="n">
        <x:f>'Datos_Brutos'!K140</x:f>
        <x:v>0</x:v>
      </x:c>
      <x:c r="M140" t="str">
        <x:f>VLOOKUP('Datos_Brutos'!L140,Listas!$G$2:$H$10,2,FALSE)</x:f>
        <x:v>Completado</x:v>
      </x:c>
      <x:c r="N140" s="12" t="n">
        <x:f>I140*J140</x:f>
        <x:v>29990</x:v>
      </x:c>
      <x:c r="O140" s="12" t="n">
        <x:f>IF(M140="Cancelado",0,N140*(1-L140))</x:f>
        <x:v>29990</x:v>
      </x:c>
      <x:c r="P140" s="12" t="n">
        <x:f>IF(M140="Cancelado",0,I140*K140)</x:f>
        <x:v>13500</x:v>
      </x:c>
      <x:c r="Q140" s="12" t="n">
        <x:f>O140-P140</x:f>
        <x:v>16490</x:v>
      </x:c>
      <x:c r="R140" s="26" t="n">
        <x:f>IF(O140=0,0,Q140/O140)</x:f>
        <x:v>0.5498499499833278</x:v>
      </x:c>
    </x:row>
    <x:row r="141">
      <x:c r="A141" t="str">
        <x:f>'Datos_Brutos'!A141</x:f>
        <x:v>V-0140</x:v>
      </x:c>
      <x:c r="B141" s="10" t="n">
        <x:f>'Datos_Brutos'!B141</x:f>
        <x:v>46141</x:v>
      </x:c>
      <x:c r="C141" t="str">
        <x:f>TEXT(B141,"yyyy-mm")</x:f>
        <x:v>2026-04</x:v>
      </x:c>
      <x:c r="D141" t="str">
        <x:f>'Datos_Brutos'!C141</x:f>
        <x:v>Cliente 075</x:v>
      </x:c>
      <x:c r="E141" t="str">
        <x:f>'Datos_Brutos'!D141</x:f>
        <x:v>Polerón</x:v>
      </x:c>
      <x:c r="F141" t="str">
        <x:f>'Datos_Brutos'!E141</x:f>
        <x:v>Moda</x:v>
      </x:c>
      <x:c r="G141" t="str">
        <x:f>VLOOKUP('Datos_Brutos'!F141,Listas!$A$2:$B$13,2,FALSE)</x:f>
        <x:v>Biobío</x:v>
      </x:c>
      <x:c r="H141" t="str">
        <x:f>VLOOKUP('Datos_Brutos'!G141,Listas!$D$2:$E$10,2,FALSE)</x:f>
        <x:v>Web</x:v>
      </x:c>
      <x:c r="I141" t="n">
        <x:f>'Datos_Brutos'!H141</x:f>
        <x:v>1</x:v>
      </x:c>
      <x:c r="J141" s="12" t="n">
        <x:f>'Datos_Brutos'!I141</x:f>
        <x:v>29990</x:v>
      </x:c>
      <x:c r="K141" s="12" t="n">
        <x:f>'Datos_Brutos'!J141</x:f>
        <x:v>13500</x:v>
      </x:c>
      <x:c r="L141" s="14" t="n">
        <x:f>'Datos_Brutos'!K141</x:f>
        <x:v>0</x:v>
      </x:c>
      <x:c r="M141" t="str">
        <x:f>VLOOKUP('Datos_Brutos'!L141,Listas!$G$2:$H$10,2,FALSE)</x:f>
        <x:v>Completado</x:v>
      </x:c>
      <x:c r="N141" s="12" t="n">
        <x:f>I141*J141</x:f>
        <x:v>29990</x:v>
      </x:c>
      <x:c r="O141" s="12" t="n">
        <x:f>IF(M141="Cancelado",0,N141*(1-L141))</x:f>
        <x:v>29990</x:v>
      </x:c>
      <x:c r="P141" s="12" t="n">
        <x:f>IF(M141="Cancelado",0,I141*K141)</x:f>
        <x:v>13500</x:v>
      </x:c>
      <x:c r="Q141" s="12" t="n">
        <x:f>O141-P141</x:f>
        <x:v>16490</x:v>
      </x:c>
      <x:c r="R141" s="26" t="n">
        <x:f>IF(O141=0,0,Q141/O141)</x:f>
        <x:v>0.5498499499833278</x:v>
      </x:c>
    </x:row>
    <x:row r="142">
      <x:c r="A142" t="str">
        <x:f>'Datos_Brutos'!A142</x:f>
        <x:v>V-0141</x:v>
      </x:c>
      <x:c r="B142" s="10" t="n">
        <x:f>'Datos_Brutos'!B142</x:f>
        <x:v>46164</x:v>
      </x:c>
      <x:c r="C142" t="str">
        <x:f>TEXT(B142,"yyyy-mm")</x:f>
        <x:v>2026-05</x:v>
      </x:c>
      <x:c r="D142" t="str">
        <x:f>'Datos_Brutos'!C142</x:f>
        <x:v>Cliente 008</x:v>
      </x:c>
      <x:c r="E142" t="str">
        <x:f>'Datos_Brutos'!D142</x:f>
        <x:v>Set de lápices</x:v>
      </x:c>
      <x:c r="F142" t="str">
        <x:f>'Datos_Brutos'!E142</x:f>
        <x:v>Papelería</x:v>
      </x:c>
      <x:c r="G142" t="str">
        <x:f>VLOOKUP('Datos_Brutos'!F142,Listas!$A$2:$B$13,2,FALSE)</x:f>
        <x:v>Maule</x:v>
      </x:c>
      <x:c r="H142" t="str">
        <x:f>VLOOKUP('Datos_Brutos'!G142,Listas!$D$2:$E$10,2,FALSE)</x:f>
        <x:v>Instagram</x:v>
      </x:c>
      <x:c r="I142" t="n">
        <x:f>'Datos_Brutos'!H142</x:f>
        <x:v>3</x:v>
      </x:c>
      <x:c r="J142" s="12" t="n">
        <x:f>'Datos_Brutos'!I142</x:f>
        <x:v>7990</x:v>
      </x:c>
      <x:c r="K142" s="12" t="n">
        <x:f>'Datos_Brutos'!J142</x:f>
        <x:v>2600</x:v>
      </x:c>
      <x:c r="L142" s="14" t="n">
        <x:f>'Datos_Brutos'!K142</x:f>
        <x:v>0</x:v>
      </x:c>
      <x:c r="M142" t="str">
        <x:f>VLOOKUP('Datos_Brutos'!L142,Listas!$G$2:$H$10,2,FALSE)</x:f>
        <x:v>Completado</x:v>
      </x:c>
      <x:c r="N142" s="12" t="n">
        <x:f>I142*J142</x:f>
        <x:v>23970</x:v>
      </x:c>
      <x:c r="O142" s="12" t="n">
        <x:f>IF(M142="Cancelado",0,N142*(1-L142))</x:f>
        <x:v>23970</x:v>
      </x:c>
      <x:c r="P142" s="12" t="n">
        <x:f>IF(M142="Cancelado",0,I142*K142)</x:f>
        <x:v>7800</x:v>
      </x:c>
      <x:c r="Q142" s="12" t="n">
        <x:f>O142-P142</x:f>
        <x:v>16170</x:v>
      </x:c>
      <x:c r="R142" s="26" t="n">
        <x:f>IF(O142=0,0,Q142/O142)</x:f>
        <x:v>0.6745932415519399</x:v>
      </x:c>
    </x:row>
    <x:row r="143">
      <x:c r="A143" t="str">
        <x:f>'Datos_Brutos'!A143</x:f>
        <x:v>V-0142</x:v>
      </x:c>
      <x:c r="B143" s="10" t="n">
        <x:f>'Datos_Brutos'!B143</x:f>
        <x:v>46138</x:v>
      </x:c>
      <x:c r="C143" t="str">
        <x:f>TEXT(B143,"yyyy-mm")</x:f>
        <x:v>2026-04</x:v>
      </x:c>
      <x:c r="D143" t="str">
        <x:f>'Datos_Brutos'!C143</x:f>
        <x:v>Cliente 057</x:v>
      </x:c>
      <x:c r="E143" t="str">
        <x:f>'Datos_Brutos'!D143</x:f>
        <x:v>Teclado</x:v>
      </x:c>
      <x:c r="F143" t="str">
        <x:f>'Datos_Brutos'!E143</x:f>
        <x:v>Tecnología</x:v>
      </x:c>
      <x:c r="G143" t="str">
        <x:f>VLOOKUP('Datos_Brutos'!F143,Listas!$A$2:$B$13,2,FALSE)</x:f>
        <x:v>Biobío</x:v>
      </x:c>
      <x:c r="H143" t="str">
        <x:f>VLOOKUP('Datos_Brutos'!G143,Listas!$D$2:$E$10,2,FALSE)</x:f>
        <x:v>Web</x:v>
      </x:c>
      <x:c r="I143" t="n">
        <x:f>'Datos_Brutos'!H143</x:f>
        <x:v>2</x:v>
      </x:c>
      <x:c r="J143" s="12" t="n">
        <x:f>'Datos_Brutos'!I143</x:f>
        <x:v>32990</x:v>
      </x:c>
      <x:c r="K143" s="12" t="n">
        <x:f>'Datos_Brutos'!J143</x:f>
        <x:v>18500</x:v>
      </x:c>
      <x:c r="L143" s="14" t="n">
        <x:f>'Datos_Brutos'!K143</x:f>
        <x:v>0.05</x:v>
      </x:c>
      <x:c r="M143" t="str">
        <x:f>VLOOKUP('Datos_Brutos'!L143,Listas!$G$2:$H$10,2,FALSE)</x:f>
        <x:v>Completado</x:v>
      </x:c>
      <x:c r="N143" s="12" t="n">
        <x:f>I143*J143</x:f>
        <x:v>65980</x:v>
      </x:c>
      <x:c r="O143" s="12" t="n">
        <x:f>IF(M143="Cancelado",0,N143*(1-L143))</x:f>
        <x:v>62681</x:v>
      </x:c>
      <x:c r="P143" s="12" t="n">
        <x:f>IF(M143="Cancelado",0,I143*K143)</x:f>
        <x:v>37000</x:v>
      </x:c>
      <x:c r="Q143" s="12" t="n">
        <x:f>O143-P143</x:f>
        <x:v>25681</x:v>
      </x:c>
      <x:c r="R143" s="26" t="n">
        <x:f>IF(O143=0,0,Q143/O143)</x:f>
        <x:v>0.40970948134203344</x:v>
      </x:c>
    </x:row>
    <x:row r="144">
      <x:c r="A144" t="str">
        <x:f>'Datos_Brutos'!A144</x:f>
        <x:v>V-0143</x:v>
      </x:c>
      <x:c r="B144" s="10" t="n">
        <x:f>'Datos_Brutos'!B144</x:f>
        <x:v>46157</x:v>
      </x:c>
      <x:c r="C144" t="str">
        <x:f>TEXT(B144,"yyyy-mm")</x:f>
        <x:v>2026-05</x:v>
      </x:c>
      <x:c r="D144" t="str">
        <x:f>'Datos_Brutos'!C144</x:f>
        <x:v>Cliente 007</x:v>
      </x:c>
      <x:c r="E144" t="str">
        <x:f>'Datos_Brutos'!D144</x:f>
        <x:v>Mochila</x:v>
      </x:c>
      <x:c r="F144" t="str">
        <x:f>'Datos_Brutos'!E144</x:f>
        <x:v>Moda</x:v>
      </x:c>
      <x:c r="G144" t="str">
        <x:f>VLOOKUP('Datos_Brutos'!F144,Listas!$A$2:$B$13,2,FALSE)</x:f>
        <x:v>Biobío</x:v>
      </x:c>
      <x:c r="H144" t="str">
        <x:f>VLOOKUP('Datos_Brutos'!G144,Listas!$D$2:$E$10,2,FALSE)</x:f>
        <x:v>Marketplace</x:v>
      </x:c>
      <x:c r="I144" t="n">
        <x:f>'Datos_Brutos'!H144</x:f>
        <x:v>2</x:v>
      </x:c>
      <x:c r="J144" s="12" t="n">
        <x:f>'Datos_Brutos'!I144</x:f>
        <x:v>26990</x:v>
      </x:c>
      <x:c r="K144" s="12" t="n">
        <x:f>'Datos_Brutos'!J144</x:f>
        <x:v>12000</x:v>
      </x:c>
      <x:c r="L144" s="14" t="n">
        <x:f>'Datos_Brutos'!K144</x:f>
        <x:v>0.05</x:v>
      </x:c>
      <x:c r="M144" t="str">
        <x:f>VLOOKUP('Datos_Brutos'!L144,Listas!$G$2:$H$10,2,FALSE)</x:f>
        <x:v>Completado</x:v>
      </x:c>
      <x:c r="N144" s="12" t="n">
        <x:f>I144*J144</x:f>
        <x:v>53980</x:v>
      </x:c>
      <x:c r="O144" s="12" t="n">
        <x:f>IF(M144="Cancelado",0,N144*(1-L144))</x:f>
        <x:v>51281</x:v>
      </x:c>
      <x:c r="P144" s="12" t="n">
        <x:f>IF(M144="Cancelado",0,I144*K144)</x:f>
        <x:v>24000</x:v>
      </x:c>
      <x:c r="Q144" s="12" t="n">
        <x:f>O144-P144</x:f>
        <x:v>27281</x:v>
      </x:c>
      <x:c r="R144" s="26" t="n">
        <x:f>IF(O144=0,0,Q144/O144)</x:f>
        <x:v>0.531990405803319</x:v>
      </x:c>
    </x:row>
    <x:row r="145">
      <x:c r="A145" t="str">
        <x:f>'Datos_Brutos'!A145</x:f>
        <x:v>V-0144</x:v>
      </x:c>
      <x:c r="B145" s="10" t="n">
        <x:f>'Datos_Brutos'!B145</x:f>
        <x:v>46225</x:v>
      </x:c>
      <x:c r="C145" t="str">
        <x:f>TEXT(B145,"yyyy-mm")</x:f>
        <x:v>2026-07</x:v>
      </x:c>
      <x:c r="D145" t="str">
        <x:f>'Datos_Brutos'!C145</x:f>
        <x:v>Cliente 020</x:v>
      </x:c>
      <x:c r="E145" t="str">
        <x:f>'Datos_Brutos'!D145</x:f>
        <x:v>Planner</x:v>
      </x:c>
      <x:c r="F145" t="str">
        <x:f>'Datos_Brutos'!E145</x:f>
        <x:v>Papelería</x:v>
      </x:c>
      <x:c r="G145" t="str">
        <x:f>VLOOKUP('Datos_Brutos'!F145,Listas!$A$2:$B$13,2,FALSE)</x:f>
        <x:v>Metropolitana</x:v>
      </x:c>
      <x:c r="H145" t="str">
        <x:f>VLOOKUP('Datos_Brutos'!G145,Listas!$D$2:$E$10,2,FALSE)</x:f>
        <x:v>Web</x:v>
      </x:c>
      <x:c r="I145" t="n">
        <x:f>'Datos_Brutos'!H145</x:f>
        <x:v>2</x:v>
      </x:c>
      <x:c r="J145" s="12" t="n">
        <x:f>'Datos_Brutos'!I145</x:f>
        <x:v>12990</x:v>
      </x:c>
      <x:c r="K145" s="12" t="n">
        <x:f>'Datos_Brutos'!J145</x:f>
        <x:v>4800</x:v>
      </x:c>
      <x:c r="L145" s="14" t="n">
        <x:f>'Datos_Brutos'!K145</x:f>
        <x:v>0.05</x:v>
      </x:c>
      <x:c r="M145" t="str">
        <x:f>VLOOKUP('Datos_Brutos'!L145,Listas!$G$2:$H$10,2,FALSE)</x:f>
        <x:v>Completado</x:v>
      </x:c>
      <x:c r="N145" s="12" t="n">
        <x:f>I145*J145</x:f>
        <x:v>25980</x:v>
      </x:c>
      <x:c r="O145" s="12" t="n">
        <x:f>IF(M145="Cancelado",0,N145*(1-L145))</x:f>
        <x:v>24681</x:v>
      </x:c>
      <x:c r="P145" s="12" t="n">
        <x:f>IF(M145="Cancelado",0,I145*K145)</x:f>
        <x:v>9600</x:v>
      </x:c>
      <x:c r="Q145" s="12" t="n">
        <x:f>O145-P145</x:f>
        <x:v>15081</x:v>
      </x:c>
      <x:c r="R145" s="26" t="n">
        <x:f>IF(O145=0,0,Q145/O145)</x:f>
        <x:v>0.6110368299501641</x:v>
      </x:c>
    </x:row>
    <x:row r="146">
      <x:c r="A146" t="str">
        <x:f>'Datos_Brutos'!A146</x:f>
        <x:v>V-0145</x:v>
      </x:c>
      <x:c r="B146" s="10" t="n">
        <x:f>'Datos_Brutos'!B146</x:f>
        <x:v>46108</x:v>
      </x:c>
      <x:c r="C146" t="str">
        <x:f>TEXT(B146,"yyyy-mm")</x:f>
        <x:v>2026-03</x:v>
      </x:c>
      <x:c r="D146" t="str">
        <x:f>'Datos_Brutos'!C146</x:f>
        <x:v>Cliente 011</x:v>
      </x:c>
      <x:c r="E146" t="str">
        <x:f>'Datos_Brutos'!D146</x:f>
        <x:v>Teclado</x:v>
      </x:c>
      <x:c r="F146" t="str">
        <x:f>'Datos_Brutos'!E146</x:f>
        <x:v>Tecnología</x:v>
      </x:c>
      <x:c r="G146" t="str">
        <x:f>VLOOKUP('Datos_Brutos'!F146,Listas!$A$2:$B$13,2,FALSE)</x:f>
        <x:v>Valparaíso</x:v>
      </x:c>
      <x:c r="H146" t="str">
        <x:f>VLOOKUP('Datos_Brutos'!G146,Listas!$D$2:$E$10,2,FALSE)</x:f>
        <x:v>Web</x:v>
      </x:c>
      <x:c r="I146" t="n">
        <x:f>'Datos_Brutos'!H146</x:f>
        <x:v>2</x:v>
      </x:c>
      <x:c r="J146" s="12" t="n">
        <x:f>'Datos_Brutos'!I146</x:f>
        <x:v>32990</x:v>
      </x:c>
      <x:c r="K146" s="12" t="n">
        <x:f>'Datos_Brutos'!J146</x:f>
        <x:v>18500</x:v>
      </x:c>
      <x:c r="L146" s="14" t="n">
        <x:f>'Datos_Brutos'!K146</x:f>
        <x:v>0</x:v>
      </x:c>
      <x:c r="M146" t="str">
        <x:f>VLOOKUP('Datos_Brutos'!L146,Listas!$G$2:$H$10,2,FALSE)</x:f>
        <x:v>Completado</x:v>
      </x:c>
      <x:c r="N146" s="12" t="n">
        <x:f>I146*J146</x:f>
        <x:v>65980</x:v>
      </x:c>
      <x:c r="O146" s="12" t="n">
        <x:f>IF(M146="Cancelado",0,N146*(1-L146))</x:f>
        <x:v>65980</x:v>
      </x:c>
      <x:c r="P146" s="12" t="n">
        <x:f>IF(M146="Cancelado",0,I146*K146)</x:f>
        <x:v>37000</x:v>
      </x:c>
      <x:c r="Q146" s="12" t="n">
        <x:f>O146-P146</x:f>
        <x:v>28980</x:v>
      </x:c>
      <x:c r="R146" s="26" t="n">
        <x:f>IF(O146=0,0,Q146/O146)</x:f>
        <x:v>0.43922400727493177</x:v>
      </x:c>
    </x:row>
    <x:row r="147">
      <x:c r="A147" t="str">
        <x:f>'Datos_Brutos'!A147</x:f>
        <x:v>V-0146</x:v>
      </x:c>
      <x:c r="B147" s="10" t="n">
        <x:f>'Datos_Brutos'!B147</x:f>
        <x:v>46102</x:v>
      </x:c>
      <x:c r="C147" t="str">
        <x:f>TEXT(B147,"yyyy-mm")</x:f>
        <x:v>2026-03</x:v>
      </x:c>
      <x:c r="D147" t="str">
        <x:f>'Datos_Brutos'!C147</x:f>
        <x:v>Cliente 055</x:v>
      </x:c>
      <x:c r="E147" t="str">
        <x:f>'Datos_Brutos'!D147</x:f>
        <x:v>Mochila</x:v>
      </x:c>
      <x:c r="F147" t="str">
        <x:f>'Datos_Brutos'!E147</x:f>
        <x:v>Moda</x:v>
      </x:c>
      <x:c r="G147" t="str">
        <x:f>VLOOKUP('Datos_Brutos'!F147,Listas!$A$2:$B$13,2,FALSE)</x:f>
        <x:v>Biobío</x:v>
      </x:c>
      <x:c r="H147" t="str">
        <x:f>VLOOKUP('Datos_Brutos'!G147,Listas!$D$2:$E$10,2,FALSE)</x:f>
        <x:v>Instagram</x:v>
      </x:c>
      <x:c r="I147" t="n">
        <x:f>'Datos_Brutos'!H147</x:f>
        <x:v>1</x:v>
      </x:c>
      <x:c r="J147" s="12" t="n">
        <x:f>'Datos_Brutos'!I147</x:f>
        <x:v>26990</x:v>
      </x:c>
      <x:c r="K147" s="12" t="n">
        <x:f>'Datos_Brutos'!J147</x:f>
        <x:v>12000</x:v>
      </x:c>
      <x:c r="L147" s="14" t="n">
        <x:f>'Datos_Brutos'!K147</x:f>
        <x:v>0</x:v>
      </x:c>
      <x:c r="M147" t="str">
        <x:f>VLOOKUP('Datos_Brutos'!L147,Listas!$G$2:$H$10,2,FALSE)</x:f>
        <x:v>Cancelado</x:v>
      </x:c>
      <x:c r="N147" s="12" t="n">
        <x:f>I147*J147</x:f>
        <x:v>26990</x:v>
      </x:c>
      <x:c r="O147" s="12" t="n">
        <x:f>IF(M147="Cancelado",0,N147*(1-L147))</x:f>
        <x:v>0</x:v>
      </x:c>
      <x:c r="P147" s="12" t="n">
        <x:f>IF(M147="Cancelado",0,I147*K147)</x:f>
        <x:v>0</x:v>
      </x:c>
      <x:c r="Q147" s="12" t="n">
        <x:f>O147-P147</x:f>
        <x:v>0</x:v>
      </x:c>
      <x:c r="R147" s="26" t="n">
        <x:f>IF(O147=0,0,Q147/O147)</x:f>
        <x:v>0</x:v>
      </x:c>
    </x:row>
    <x:row r="148">
      <x:c r="A148" t="str">
        <x:f>'Datos_Brutos'!A148</x:f>
        <x:v>V-0147</x:v>
      </x:c>
      <x:c r="B148" s="10" t="n">
        <x:f>'Datos_Brutos'!B148</x:f>
        <x:v>46153</x:v>
      </x:c>
      <x:c r="C148" t="str">
        <x:f>TEXT(B148,"yyyy-mm")</x:f>
        <x:v>2026-05</x:v>
      </x:c>
      <x:c r="D148" t="str">
        <x:f>'Datos_Brutos'!C148</x:f>
        <x:v>Cliente 018</x:v>
      </x:c>
      <x:c r="E148" t="str">
        <x:f>'Datos_Brutos'!D148</x:f>
        <x:v>Botella térmica</x:v>
      </x:c>
      <x:c r="F148" t="str">
        <x:f>'Datos_Brutos'!E148</x:f>
        <x:v>Hogar</x:v>
      </x:c>
      <x:c r="G148" t="str">
        <x:f>VLOOKUP('Datos_Brutos'!F148,Listas!$A$2:$B$13,2,FALSE)</x:f>
        <x:v>Biobío</x:v>
      </x:c>
      <x:c r="H148" t="str">
        <x:f>VLOOKUP('Datos_Brutos'!G148,Listas!$D$2:$E$10,2,FALSE)</x:f>
        <x:v>Marketplace</x:v>
      </x:c>
      <x:c r="I148" t="n">
        <x:f>'Datos_Brutos'!H148</x:f>
        <x:v>1</x:v>
      </x:c>
      <x:c r="J148" s="12" t="n">
        <x:f>'Datos_Brutos'!I148</x:f>
        <x:v>17990</x:v>
      </x:c>
      <x:c r="K148" s="12" t="n">
        <x:f>'Datos_Brutos'!J148</x:f>
        <x:v>8300</x:v>
      </x:c>
      <x:c r="L148" s="14" t="n">
        <x:f>'Datos_Brutos'!K148</x:f>
        <x:v>0</x:v>
      </x:c>
      <x:c r="M148" t="str">
        <x:f>VLOOKUP('Datos_Brutos'!L148,Listas!$G$2:$H$10,2,FALSE)</x:f>
        <x:v>Cancelado</x:v>
      </x:c>
      <x:c r="N148" s="12" t="n">
        <x:f>I148*J148</x:f>
        <x:v>17990</x:v>
      </x:c>
      <x:c r="O148" s="12" t="n">
        <x:f>IF(M148="Cancelado",0,N148*(1-L148))</x:f>
        <x:v>0</x:v>
      </x:c>
      <x:c r="P148" s="12" t="n">
        <x:f>IF(M148="Cancelado",0,I148*K148)</x:f>
        <x:v>0</x:v>
      </x:c>
      <x:c r="Q148" s="12" t="n">
        <x:f>O148-P148</x:f>
        <x:v>0</x:v>
      </x:c>
      <x:c r="R148" s="26" t="n">
        <x:f>IF(O148=0,0,Q148/O148)</x:f>
        <x:v>0</x:v>
      </x:c>
    </x:row>
    <x:row r="149">
      <x:c r="A149" t="str">
        <x:f>'Datos_Brutos'!A149</x:f>
        <x:v>V-0148</x:v>
      </x:c>
      <x:c r="B149" s="10" t="n">
        <x:f>'Datos_Brutos'!B149</x:f>
        <x:v>46062</x:v>
      </x:c>
      <x:c r="C149" t="str">
        <x:f>TEXT(B149,"yyyy-mm")</x:f>
        <x:v>2026-02</x:v>
      </x:c>
      <x:c r="D149" t="str">
        <x:f>'Datos_Brutos'!C149</x:f>
        <x:v>Cliente 017</x:v>
      </x:c>
      <x:c r="E149" t="str">
        <x:f>'Datos_Brutos'!D149</x:f>
        <x:v>Teclado</x:v>
      </x:c>
      <x:c r="F149" t="str">
        <x:f>'Datos_Brutos'!E149</x:f>
        <x:v>Tecnología</x:v>
      </x:c>
      <x:c r="G149" t="str">
        <x:f>VLOOKUP('Datos_Brutos'!F149,Listas!$A$2:$B$13,2,FALSE)</x:f>
        <x:v>Metropolitana</x:v>
      </x:c>
      <x:c r="H149" t="str">
        <x:f>VLOOKUP('Datos_Brutos'!G149,Listas!$D$2:$E$10,2,FALSE)</x:f>
        <x:v>Instagram</x:v>
      </x:c>
      <x:c r="I149" t="n">
        <x:f>'Datos_Brutos'!H149</x:f>
        <x:v>1</x:v>
      </x:c>
      <x:c r="J149" s="12" t="n">
        <x:f>'Datos_Brutos'!I149</x:f>
        <x:v>32990</x:v>
      </x:c>
      <x:c r="K149" s="12" t="n">
        <x:f>'Datos_Brutos'!J149</x:f>
        <x:v>18500</x:v>
      </x:c>
      <x:c r="L149" s="14" t="n">
        <x:f>'Datos_Brutos'!K149</x:f>
        <x:v>0.05</x:v>
      </x:c>
      <x:c r="M149" t="str">
        <x:f>VLOOKUP('Datos_Brutos'!L149,Listas!$G$2:$H$10,2,FALSE)</x:f>
        <x:v>Pendiente</x:v>
      </x:c>
      <x:c r="N149" s="12" t="n">
        <x:f>I149*J149</x:f>
        <x:v>32990</x:v>
      </x:c>
      <x:c r="O149" s="12" t="n">
        <x:f>IF(M149="Cancelado",0,N149*(1-L149))</x:f>
        <x:v>31340.5</x:v>
      </x:c>
      <x:c r="P149" s="12" t="n">
        <x:f>IF(M149="Cancelado",0,I149*K149)</x:f>
        <x:v>18500</x:v>
      </x:c>
      <x:c r="Q149" s="12" t="n">
        <x:f>O149-P149</x:f>
        <x:v>12840.5</x:v>
      </x:c>
      <x:c r="R149" s="26" t="n">
        <x:f>IF(O149=0,0,Q149/O149)</x:f>
        <x:v>0.40970948134203344</x:v>
      </x:c>
    </x:row>
    <x:row r="150">
      <x:c r="A150" t="str">
        <x:f>'Datos_Brutos'!A150</x:f>
        <x:v>V-0149</x:v>
      </x:c>
      <x:c r="B150" s="10" t="n">
        <x:f>'Datos_Brutos'!B150</x:f>
        <x:v>46175</x:v>
      </x:c>
      <x:c r="C150" t="str">
        <x:f>TEXT(B150,"yyyy-mm")</x:f>
        <x:v>2026-06</x:v>
      </x:c>
      <x:c r="D150" t="str">
        <x:f>'Datos_Brutos'!C150</x:f>
        <x:v>Cliente 031</x:v>
      </x:c>
      <x:c r="E150" t="str">
        <x:f>'Datos_Brutos'!D150</x:f>
        <x:v>Polera básica</x:v>
      </x:c>
      <x:c r="F150" t="str">
        <x:f>'Datos_Brutos'!E150</x:f>
        <x:v>Moda</x:v>
      </x:c>
      <x:c r="G150" t="str">
        <x:f>VLOOKUP('Datos_Brutos'!F150,Listas!$A$2:$B$13,2,FALSE)</x:f>
        <x:v>Valparaíso</x:v>
      </x:c>
      <x:c r="H150" t="str">
        <x:f>VLOOKUP('Datos_Brutos'!G150,Listas!$D$2:$E$10,2,FALSE)</x:f>
        <x:v>Instagram</x:v>
      </x:c>
      <x:c r="I150" t="n">
        <x:f>'Datos_Brutos'!H150</x:f>
        <x:v>1</x:v>
      </x:c>
      <x:c r="J150" s="12" t="n">
        <x:f>'Datos_Brutos'!I150</x:f>
        <x:v>15990</x:v>
      </x:c>
      <x:c r="K150" s="12" t="n">
        <x:f>'Datos_Brutos'!J150</x:f>
        <x:v>6800</x:v>
      </x:c>
      <x:c r="L150" s="14" t="n">
        <x:f>'Datos_Brutos'!K150</x:f>
        <x:v>0</x:v>
      </x:c>
      <x:c r="M150" t="str">
        <x:f>VLOOKUP('Datos_Brutos'!L150,Listas!$G$2:$H$10,2,FALSE)</x:f>
        <x:v>Completado</x:v>
      </x:c>
      <x:c r="N150" s="12" t="n">
        <x:f>I150*J150</x:f>
        <x:v>15990</x:v>
      </x:c>
      <x:c r="O150" s="12" t="n">
        <x:f>IF(M150="Cancelado",0,N150*(1-L150))</x:f>
        <x:v>15990</x:v>
      </x:c>
      <x:c r="P150" s="12" t="n">
        <x:f>IF(M150="Cancelado",0,I150*K150)</x:f>
        <x:v>6800</x:v>
      </x:c>
      <x:c r="Q150" s="12" t="n">
        <x:f>O150-P150</x:f>
        <x:v>9190</x:v>
      </x:c>
      <x:c r="R150" s="26" t="n">
        <x:f>IF(O150=0,0,Q150/O150)</x:f>
        <x:v>0.5747342088805504</x:v>
      </x:c>
    </x:row>
    <x:row r="151">
      <x:c r="A151" t="str">
        <x:f>'Datos_Brutos'!A151</x:f>
        <x:v>V-0150</x:v>
      </x:c>
      <x:c r="B151" s="10" t="n">
        <x:f>'Datos_Brutos'!B151</x:f>
        <x:v>46136</x:v>
      </x:c>
      <x:c r="C151" t="str">
        <x:f>TEXT(B151,"yyyy-mm")</x:f>
        <x:v>2026-04</x:v>
      </x:c>
      <x:c r="D151" t="str">
        <x:f>'Datos_Brutos'!C151</x:f>
        <x:v>Cliente 025</x:v>
      </x:c>
      <x:c r="E151" t="str">
        <x:f>'Datos_Brutos'!D151</x:f>
        <x:v>Cuaderno premium</x:v>
      </x:c>
      <x:c r="F151" t="str">
        <x:f>'Datos_Brutos'!E151</x:f>
        <x:v>Papelería</x:v>
      </x:c>
      <x:c r="G151" t="str">
        <x:f>VLOOKUP('Datos_Brutos'!F151,Listas!$A$2:$B$13,2,FALSE)</x:f>
        <x:v>Maule</x:v>
      </x:c>
      <x:c r="H151" t="str">
        <x:f>VLOOKUP('Datos_Brutos'!G151,Listas!$D$2:$E$10,2,FALSE)</x:f>
        <x:v>Web</x:v>
      </x:c>
      <x:c r="I151" t="n">
        <x:f>'Datos_Brutos'!H151</x:f>
        <x:v>1</x:v>
      </x:c>
      <x:c r="J151" s="12" t="n">
        <x:f>'Datos_Brutos'!I151</x:f>
        <x:v>9990</x:v>
      </x:c>
      <x:c r="K151" s="12" t="n">
        <x:f>'Datos_Brutos'!J151</x:f>
        <x:v>3900</x:v>
      </x:c>
      <x:c r="L151" s="14" t="n">
        <x:f>'Datos_Brutos'!K151</x:f>
        <x:v>0.1</x:v>
      </x:c>
      <x:c r="M151" t="str">
        <x:f>VLOOKUP('Datos_Brutos'!L151,Listas!$G$2:$H$10,2,FALSE)</x:f>
        <x:v>Cancelado</x:v>
      </x:c>
      <x:c r="N151" s="12" t="n">
        <x:f>I151*J151</x:f>
        <x:v>9990</x:v>
      </x:c>
      <x:c r="O151" s="12" t="n">
        <x:f>IF(M151="Cancelado",0,N151*(1-L151))</x:f>
        <x:v>0</x:v>
      </x:c>
      <x:c r="P151" s="12" t="n">
        <x:f>IF(M151="Cancelado",0,I151*K151)</x:f>
        <x:v>0</x:v>
      </x:c>
      <x:c r="Q151" s="12" t="n">
        <x:f>O151-P151</x:f>
        <x:v>0</x:v>
      </x:c>
      <x:c r="R151" s="26" t="n">
        <x:f>IF(O151=0,0,Q151/O151)</x:f>
        <x:v>0</x:v>
      </x:c>
    </x:row>
    <x:row r="152">
      <x:c r="A152" t="str">
        <x:f>'Datos_Brutos'!A152</x:f>
        <x:v>V-0151</x:v>
      </x:c>
      <x:c r="B152" s="10" t="n">
        <x:f>'Datos_Brutos'!B152</x:f>
        <x:v>46117</x:v>
      </x:c>
      <x:c r="C152" t="str">
        <x:f>TEXT(B152,"yyyy-mm")</x:f>
        <x:v>2026-04</x:v>
      </x:c>
      <x:c r="D152" t="str">
        <x:f>'Datos_Brutos'!C152</x:f>
        <x:v>Cliente 026</x:v>
      </x:c>
      <x:c r="E152" t="str">
        <x:f>'Datos_Brutos'!D152</x:f>
        <x:v>Planner</x:v>
      </x:c>
      <x:c r="F152" t="str">
        <x:f>'Datos_Brutos'!E152</x:f>
        <x:v>Papelería</x:v>
      </x:c>
      <x:c r="G152" t="str">
        <x:f>VLOOKUP('Datos_Brutos'!F152,Listas!$A$2:$B$13,2,FALSE)</x:f>
        <x:v>Maule</x:v>
      </x:c>
      <x:c r="H152" t="str">
        <x:f>VLOOKUP('Datos_Brutos'!G152,Listas!$D$2:$E$10,2,FALSE)</x:f>
        <x:v>Instagram</x:v>
      </x:c>
      <x:c r="I152" t="n">
        <x:f>'Datos_Brutos'!H152</x:f>
        <x:v>3</x:v>
      </x:c>
      <x:c r="J152" s="12" t="n">
        <x:f>'Datos_Brutos'!I152</x:f>
        <x:v>12990</x:v>
      </x:c>
      <x:c r="K152" s="12" t="n">
        <x:f>'Datos_Brutos'!J152</x:f>
        <x:v>4800</x:v>
      </x:c>
      <x:c r="L152" s="14" t="n">
        <x:f>'Datos_Brutos'!K152</x:f>
        <x:v>0.15</x:v>
      </x:c>
      <x:c r="M152" t="str">
        <x:f>VLOOKUP('Datos_Brutos'!L152,Listas!$G$2:$H$10,2,FALSE)</x:f>
        <x:v>Completado</x:v>
      </x:c>
      <x:c r="N152" s="12" t="n">
        <x:f>I152*J152</x:f>
        <x:v>38970</x:v>
      </x:c>
      <x:c r="O152" s="12" t="n">
        <x:f>IF(M152="Cancelado",0,N152*(1-L152))</x:f>
        <x:v>33124.5</x:v>
      </x:c>
      <x:c r="P152" s="12" t="n">
        <x:f>IF(M152="Cancelado",0,I152*K152)</x:f>
        <x:v>14400</x:v>
      </x:c>
      <x:c r="Q152" s="12" t="n">
        <x:f>O152-P152</x:f>
        <x:v>18724.5</x:v>
      </x:c>
      <x:c r="R152" s="26" t="n">
        <x:f>IF(O152=0,0,Q152/O152)</x:f>
        <x:v>0.5652764570031246</x:v>
      </x:c>
    </x:row>
    <x:row r="153">
      <x:c r="A153" t="str">
        <x:f>'Datos_Brutos'!A153</x:f>
        <x:v>V-0152</x:v>
      </x:c>
      <x:c r="B153" s="10" t="n">
        <x:f>'Datos_Brutos'!B153</x:f>
        <x:v>46228</x:v>
      </x:c>
      <x:c r="C153" t="str">
        <x:f>TEXT(B153,"yyyy-mm")</x:f>
        <x:v>2026-07</x:v>
      </x:c>
      <x:c r="D153" t="str">
        <x:f>'Datos_Brutos'!C153</x:f>
        <x:v>Cliente 067</x:v>
      </x:c>
      <x:c r="E153" t="str">
        <x:f>'Datos_Brutos'!D153</x:f>
        <x:v>Cuaderno premium</x:v>
      </x:c>
      <x:c r="F153" t="str">
        <x:f>'Datos_Brutos'!E153</x:f>
        <x:v>Papelería</x:v>
      </x:c>
      <x:c r="G153" t="str">
        <x:f>VLOOKUP('Datos_Brutos'!F153,Listas!$A$2:$B$13,2,FALSE)</x:f>
        <x:v>Biobío</x:v>
      </x:c>
      <x:c r="H153" t="str">
        <x:f>VLOOKUP('Datos_Brutos'!G153,Listas!$D$2:$E$10,2,FALSE)</x:f>
        <x:v>Instagram</x:v>
      </x:c>
      <x:c r="I153" t="n">
        <x:f>'Datos_Brutos'!H153</x:f>
        <x:v>1</x:v>
      </x:c>
      <x:c r="J153" s="12" t="n">
        <x:f>'Datos_Brutos'!I153</x:f>
        <x:v>9990</x:v>
      </x:c>
      <x:c r="K153" s="12" t="n">
        <x:f>'Datos_Brutos'!J153</x:f>
        <x:v>3900</x:v>
      </x:c>
      <x:c r="L153" s="14" t="n">
        <x:f>'Datos_Brutos'!K153</x:f>
        <x:v>0.05</x:v>
      </x:c>
      <x:c r="M153" t="str">
        <x:f>VLOOKUP('Datos_Brutos'!L153,Listas!$G$2:$H$10,2,FALSE)</x:f>
        <x:v>Completado</x:v>
      </x:c>
      <x:c r="N153" s="12" t="n">
        <x:f>I153*J153</x:f>
        <x:v>9990</x:v>
      </x:c>
      <x:c r="O153" s="12" t="n">
        <x:f>IF(M153="Cancelado",0,N153*(1-L153))</x:f>
        <x:v>9490.5</x:v>
      </x:c>
      <x:c r="P153" s="12" t="n">
        <x:f>IF(M153="Cancelado",0,I153*K153)</x:f>
        <x:v>3900</x:v>
      </x:c>
      <x:c r="Q153" s="12" t="n">
        <x:f>O153-P153</x:f>
        <x:v>5590.5</x:v>
      </x:c>
      <x:c r="R153" s="26" t="n">
        <x:f>IF(O153=0,0,Q153/O153)</x:f>
        <x:v>0.5890627469574838</x:v>
      </x:c>
    </x:row>
    <x:row r="154">
      <x:c r="A154" t="str">
        <x:f>'Datos_Brutos'!A154</x:f>
        <x:v>V-0153</x:v>
      </x:c>
      <x:c r="B154" s="10" t="n">
        <x:f>'Datos_Brutos'!B154</x:f>
        <x:v>46240</x:v>
      </x:c>
      <x:c r="C154" t="str">
        <x:f>TEXT(B154,"yyyy-mm")</x:f>
        <x:v>2026-08</x:v>
      </x:c>
      <x:c r="D154" t="str">
        <x:f>'Datos_Brutos'!C154</x:f>
        <x:v>Cliente 029</x:v>
      </x:c>
      <x:c r="E154" t="str">
        <x:f>'Datos_Brutos'!D154</x:f>
        <x:v>Teclado</x:v>
      </x:c>
      <x:c r="F154" t="str">
        <x:f>'Datos_Brutos'!E154</x:f>
        <x:v>Tecnología</x:v>
      </x:c>
      <x:c r="G154" t="str">
        <x:f>VLOOKUP('Datos_Brutos'!F154,Listas!$A$2:$B$13,2,FALSE)</x:f>
        <x:v>Valparaíso</x:v>
      </x:c>
      <x:c r="H154" t="str">
        <x:f>VLOOKUP('Datos_Brutos'!G154,Listas!$D$2:$E$10,2,FALSE)</x:f>
        <x:v>Web</x:v>
      </x:c>
      <x:c r="I154" t="n">
        <x:f>'Datos_Brutos'!H154</x:f>
        <x:v>1</x:v>
      </x:c>
      <x:c r="J154" s="12" t="n">
        <x:f>'Datos_Brutos'!I154</x:f>
        <x:v>32990</x:v>
      </x:c>
      <x:c r="K154" s="12" t="n">
        <x:f>'Datos_Brutos'!J154</x:f>
        <x:v>18500</x:v>
      </x:c>
      <x:c r="L154" s="14" t="n">
        <x:f>'Datos_Brutos'!K154</x:f>
        <x:v>0</x:v>
      </x:c>
      <x:c r="M154" t="str">
        <x:f>VLOOKUP('Datos_Brutos'!L154,Listas!$G$2:$H$10,2,FALSE)</x:f>
        <x:v>Completado</x:v>
      </x:c>
      <x:c r="N154" s="12" t="n">
        <x:f>I154*J154</x:f>
        <x:v>32990</x:v>
      </x:c>
      <x:c r="O154" s="12" t="n">
        <x:f>IF(M154="Cancelado",0,N154*(1-L154))</x:f>
        <x:v>32990</x:v>
      </x:c>
      <x:c r="P154" s="12" t="n">
        <x:f>IF(M154="Cancelado",0,I154*K154)</x:f>
        <x:v>18500</x:v>
      </x:c>
      <x:c r="Q154" s="12" t="n">
        <x:f>O154-P154</x:f>
        <x:v>14490</x:v>
      </x:c>
      <x:c r="R154" s="26" t="n">
        <x:f>IF(O154=0,0,Q154/O154)</x:f>
        <x:v>0.43922400727493177</x:v>
      </x:c>
    </x:row>
    <x:row r="155">
      <x:c r="A155" t="str">
        <x:f>'Datos_Brutos'!A155</x:f>
        <x:v>V-0154</x:v>
      </x:c>
      <x:c r="B155" s="10" t="n">
        <x:f>'Datos_Brutos'!B155</x:f>
        <x:v>46232</x:v>
      </x:c>
      <x:c r="C155" t="str">
        <x:f>TEXT(B155,"yyyy-mm")</x:f>
        <x:v>2026-07</x:v>
      </x:c>
      <x:c r="D155" t="str">
        <x:f>'Datos_Brutos'!C155</x:f>
        <x:v>Cliente 048</x:v>
      </x:c>
      <x:c r="E155" t="str">
        <x:f>'Datos_Brutos'!D155</x:f>
        <x:v>Polerón</x:v>
      </x:c>
      <x:c r="F155" t="str">
        <x:f>'Datos_Brutos'!E155</x:f>
        <x:v>Moda</x:v>
      </x:c>
      <x:c r="G155" t="str">
        <x:f>VLOOKUP('Datos_Brutos'!F155,Listas!$A$2:$B$13,2,FALSE)</x:f>
        <x:v>Metropolitana</x:v>
      </x:c>
      <x:c r="H155" t="str">
        <x:f>VLOOKUP('Datos_Brutos'!G155,Listas!$D$2:$E$10,2,FALSE)</x:f>
        <x:v>Web</x:v>
      </x:c>
      <x:c r="I155" t="n">
        <x:f>'Datos_Brutos'!H155</x:f>
        <x:v>3</x:v>
      </x:c>
      <x:c r="J155" s="12" t="n">
        <x:f>'Datos_Brutos'!I155</x:f>
        <x:v>29990</x:v>
      </x:c>
      <x:c r="K155" s="12" t="n">
        <x:f>'Datos_Brutos'!J155</x:f>
        <x:v>13500</x:v>
      </x:c>
      <x:c r="L155" s="14" t="n">
        <x:f>'Datos_Brutos'!K155</x:f>
        <x:v>0.15</x:v>
      </x:c>
      <x:c r="M155" t="str">
        <x:f>VLOOKUP('Datos_Brutos'!L155,Listas!$G$2:$H$10,2,FALSE)</x:f>
        <x:v>Completado</x:v>
      </x:c>
      <x:c r="N155" s="12" t="n">
        <x:f>I155*J155</x:f>
        <x:v>89970</x:v>
      </x:c>
      <x:c r="O155" s="12" t="n">
        <x:f>IF(M155="Cancelado",0,N155*(1-L155))</x:f>
        <x:v>76474.5</x:v>
      </x:c>
      <x:c r="P155" s="12" t="n">
        <x:f>IF(M155="Cancelado",0,I155*K155)</x:f>
        <x:v>40500</x:v>
      </x:c>
      <x:c r="Q155" s="12" t="n">
        <x:f>O155-P155</x:f>
        <x:v>35974.5</x:v>
      </x:c>
      <x:c r="R155" s="26" t="n">
        <x:f>IF(O155=0,0,Q155/O155)</x:f>
        <x:v>0.47041170586273856</x:v>
      </x:c>
    </x:row>
    <x:row r="156">
      <x:c r="A156" t="str">
        <x:f>'Datos_Brutos'!A156</x:f>
        <x:v>V-0155</x:v>
      </x:c>
      <x:c r="B156" s="10" t="n">
        <x:f>'Datos_Brutos'!B156</x:f>
        <x:v>46080</x:v>
      </x:c>
      <x:c r="C156" t="str">
        <x:f>TEXT(B156,"yyyy-mm")</x:f>
        <x:v>2026-02</x:v>
      </x:c>
      <x:c r="D156" t="str">
        <x:f>'Datos_Brutos'!C156</x:f>
        <x:v>Cliente 061</x:v>
      </x:c>
      <x:c r="E156" t="str">
        <x:f>'Datos_Brutos'!D156</x:f>
        <x:v>Auriculares</x:v>
      </x:c>
      <x:c r="F156" t="str">
        <x:f>'Datos_Brutos'!E156</x:f>
        <x:v>Tecnología</x:v>
      </x:c>
      <x:c r="G156" t="str">
        <x:f>VLOOKUP('Datos_Brutos'!F156,Listas!$A$2:$B$13,2,FALSE)</x:f>
        <x:v>Metropolitana</x:v>
      </x:c>
      <x:c r="H156" t="str">
        <x:f>VLOOKUP('Datos_Brutos'!G156,Listas!$D$2:$E$10,2,FALSE)</x:f>
        <x:v>Instagram</x:v>
      </x:c>
      <x:c r="I156" t="n">
        <x:f>'Datos_Brutos'!H156</x:f>
        <x:v>1</x:v>
      </x:c>
      <x:c r="J156" s="12" t="n">
        <x:f>'Datos_Brutos'!I156</x:f>
        <x:v>24990</x:v>
      </x:c>
      <x:c r="K156" s="12" t="n">
        <x:f>'Datos_Brutos'!J156</x:f>
        <x:v>14500</x:v>
      </x:c>
      <x:c r="L156" s="14" t="n">
        <x:f>'Datos_Brutos'!K156</x:f>
        <x:v>0.1</x:v>
      </x:c>
      <x:c r="M156" t="str">
        <x:f>VLOOKUP('Datos_Brutos'!L156,Listas!$G$2:$H$10,2,FALSE)</x:f>
        <x:v>Completado</x:v>
      </x:c>
      <x:c r="N156" s="12" t="n">
        <x:f>I156*J156</x:f>
        <x:v>24990</x:v>
      </x:c>
      <x:c r="O156" s="12" t="n">
        <x:f>IF(M156="Cancelado",0,N156*(1-L156))</x:f>
        <x:v>22491</x:v>
      </x:c>
      <x:c r="P156" s="12" t="n">
        <x:f>IF(M156="Cancelado",0,I156*K156)</x:f>
        <x:v>14500</x:v>
      </x:c>
      <x:c r="Q156" s="12" t="n">
        <x:f>O156-P156</x:f>
        <x:v>7991</x:v>
      </x:c>
      <x:c r="R156" s="26" t="n">
        <x:f>IF(O156=0,0,Q156/O156)</x:f>
        <x:v>0.35529767462540573</x:v>
      </x:c>
    </x:row>
    <x:row r="157">
      <x:c r="A157" t="str">
        <x:f>'Datos_Brutos'!A157</x:f>
        <x:v>V-0156</x:v>
      </x:c>
      <x:c r="B157" s="10" t="n">
        <x:f>'Datos_Brutos'!B157</x:f>
        <x:v>46201</x:v>
      </x:c>
      <x:c r="C157" t="str">
        <x:f>TEXT(B157,"yyyy-mm")</x:f>
        <x:v>2026-06</x:v>
      </x:c>
      <x:c r="D157" t="str">
        <x:f>'Datos_Brutos'!C157</x:f>
        <x:v>Cliente 071</x:v>
      </x:c>
      <x:c r="E157" t="str">
        <x:f>'Datos_Brutos'!D157</x:f>
        <x:v>Mouse</x:v>
      </x:c>
      <x:c r="F157" t="str">
        <x:f>'Datos_Brutos'!E157</x:f>
        <x:v>Tecnología</x:v>
      </x:c>
      <x:c r="G157" t="str">
        <x:f>VLOOKUP('Datos_Brutos'!F157,Listas!$A$2:$B$13,2,FALSE)</x:f>
        <x:v>Maule</x:v>
      </x:c>
      <x:c r="H157" t="str">
        <x:f>VLOOKUP('Datos_Brutos'!G157,Listas!$D$2:$E$10,2,FALSE)</x:f>
        <x:v>Instagram</x:v>
      </x:c>
      <x:c r="I157" t="n">
        <x:f>'Datos_Brutos'!H157</x:f>
        <x:v>2</x:v>
      </x:c>
      <x:c r="J157" s="12" t="n">
        <x:f>'Datos_Brutos'!I157</x:f>
        <x:v>18990</x:v>
      </x:c>
      <x:c r="K157" s="12" t="n">
        <x:f>'Datos_Brutos'!J157</x:f>
        <x:v>9800</x:v>
      </x:c>
      <x:c r="L157" s="14" t="n">
        <x:f>'Datos_Brutos'!K157</x:f>
        <x:v>0.1</x:v>
      </x:c>
      <x:c r="M157" t="str">
        <x:f>VLOOKUP('Datos_Brutos'!L157,Listas!$G$2:$H$10,2,FALSE)</x:f>
        <x:v>Completado</x:v>
      </x:c>
      <x:c r="N157" s="12" t="n">
        <x:f>I157*J157</x:f>
        <x:v>37980</x:v>
      </x:c>
      <x:c r="O157" s="12" t="n">
        <x:f>IF(M157="Cancelado",0,N157*(1-L157))</x:f>
        <x:v>34182</x:v>
      </x:c>
      <x:c r="P157" s="12" t="n">
        <x:f>IF(M157="Cancelado",0,I157*K157)</x:f>
        <x:v>19600</x:v>
      </x:c>
      <x:c r="Q157" s="12" t="n">
        <x:f>O157-P157</x:f>
        <x:v>14582</x:v>
      </x:c>
      <x:c r="R157" s="26" t="n">
        <x:f>IF(O157=0,0,Q157/O157)</x:f>
        <x:v>0.4265987946872623</x:v>
      </x:c>
    </x:row>
    <x:row r="158">
      <x:c r="A158" t="str">
        <x:f>'Datos_Brutos'!A158</x:f>
        <x:v>V-0157</x:v>
      </x:c>
      <x:c r="B158" s="10" t="n">
        <x:f>'Datos_Brutos'!B158</x:f>
        <x:v>46209</x:v>
      </x:c>
      <x:c r="C158" t="str">
        <x:f>TEXT(B158,"yyyy-mm")</x:f>
        <x:v>2026-07</x:v>
      </x:c>
      <x:c r="D158" t="str">
        <x:f>'Datos_Brutos'!C158</x:f>
        <x:v>Cliente 059</x:v>
      </x:c>
      <x:c r="E158" t="str">
        <x:f>'Datos_Brutos'!D158</x:f>
        <x:v>Cuaderno premium</x:v>
      </x:c>
      <x:c r="F158" t="str">
        <x:f>'Datos_Brutos'!E158</x:f>
        <x:v>Papelería</x:v>
      </x:c>
      <x:c r="G158" t="str">
        <x:f>VLOOKUP('Datos_Brutos'!F158,Listas!$A$2:$B$13,2,FALSE)</x:f>
        <x:v>Metropolitana</x:v>
      </x:c>
      <x:c r="H158" t="str">
        <x:f>VLOOKUP('Datos_Brutos'!G158,Listas!$D$2:$E$10,2,FALSE)</x:f>
        <x:v>Web</x:v>
      </x:c>
      <x:c r="I158" t="n">
        <x:f>'Datos_Brutos'!H158</x:f>
        <x:v>1</x:v>
      </x:c>
      <x:c r="J158" s="12" t="n">
        <x:f>'Datos_Brutos'!I158</x:f>
        <x:v>9990</x:v>
      </x:c>
      <x:c r="K158" s="12" t="n">
        <x:f>'Datos_Brutos'!J158</x:f>
        <x:v>3900</x:v>
      </x:c>
      <x:c r="L158" s="14" t="n">
        <x:f>'Datos_Brutos'!K158</x:f>
        <x:v>0.05</x:v>
      </x:c>
      <x:c r="M158" t="str">
        <x:f>VLOOKUP('Datos_Brutos'!L158,Listas!$G$2:$H$10,2,FALSE)</x:f>
        <x:v>Completado</x:v>
      </x:c>
      <x:c r="N158" s="12" t="n">
        <x:f>I158*J158</x:f>
        <x:v>9990</x:v>
      </x:c>
      <x:c r="O158" s="12" t="n">
        <x:f>IF(M158="Cancelado",0,N158*(1-L158))</x:f>
        <x:v>9490.5</x:v>
      </x:c>
      <x:c r="P158" s="12" t="n">
        <x:f>IF(M158="Cancelado",0,I158*K158)</x:f>
        <x:v>3900</x:v>
      </x:c>
      <x:c r="Q158" s="12" t="n">
        <x:f>O158-P158</x:f>
        <x:v>5590.5</x:v>
      </x:c>
      <x:c r="R158" s="26" t="n">
        <x:f>IF(O158=0,0,Q158/O158)</x:f>
        <x:v>0.5890627469574838</x:v>
      </x:c>
    </x:row>
    <x:row r="159">
      <x:c r="A159" t="str">
        <x:f>'Datos_Brutos'!A159</x:f>
        <x:v>V-0158</x:v>
      </x:c>
      <x:c r="B159" s="10" t="n">
        <x:f>'Datos_Brutos'!B159</x:f>
        <x:v>46039</x:v>
      </x:c>
      <x:c r="C159" t="str">
        <x:f>TEXT(B159,"yyyy-mm")</x:f>
        <x:v>2026-01</x:v>
      </x:c>
      <x:c r="D159" t="str">
        <x:f>'Datos_Brutos'!C159</x:f>
        <x:v>Cliente 038</x:v>
      </x:c>
      <x:c r="E159" t="str">
        <x:f>'Datos_Brutos'!D159</x:f>
        <x:v>Teclado</x:v>
      </x:c>
      <x:c r="F159" t="str">
        <x:f>'Datos_Brutos'!E159</x:f>
        <x:v>Tecnología</x:v>
      </x:c>
      <x:c r="G159" t="str">
        <x:f>VLOOKUP('Datos_Brutos'!F159,Listas!$A$2:$B$13,2,FALSE)</x:f>
        <x:v>Maule</x:v>
      </x:c>
      <x:c r="H159" t="str">
        <x:f>VLOOKUP('Datos_Brutos'!G159,Listas!$D$2:$E$10,2,FALSE)</x:f>
        <x:v>Web</x:v>
      </x:c>
      <x:c r="I159" t="n">
        <x:f>'Datos_Brutos'!H159</x:f>
        <x:v>2</x:v>
      </x:c>
      <x:c r="J159" s="12" t="n">
        <x:f>'Datos_Brutos'!I159</x:f>
        <x:v>32990</x:v>
      </x:c>
      <x:c r="K159" s="12" t="n">
        <x:f>'Datos_Brutos'!J159</x:f>
        <x:v>18500</x:v>
      </x:c>
      <x:c r="L159" s="14" t="n">
        <x:f>'Datos_Brutos'!K159</x:f>
        <x:v>0.05</x:v>
      </x:c>
      <x:c r="M159" t="str">
        <x:f>VLOOKUP('Datos_Brutos'!L159,Listas!$G$2:$H$10,2,FALSE)</x:f>
        <x:v>Completado</x:v>
      </x:c>
      <x:c r="N159" s="12" t="n">
        <x:f>I159*J159</x:f>
        <x:v>65980</x:v>
      </x:c>
      <x:c r="O159" s="12" t="n">
        <x:f>IF(M159="Cancelado",0,N159*(1-L159))</x:f>
        <x:v>62681</x:v>
      </x:c>
      <x:c r="P159" s="12" t="n">
        <x:f>IF(M159="Cancelado",0,I159*K159)</x:f>
        <x:v>37000</x:v>
      </x:c>
      <x:c r="Q159" s="12" t="n">
        <x:f>O159-P159</x:f>
        <x:v>25681</x:v>
      </x:c>
      <x:c r="R159" s="26" t="n">
        <x:f>IF(O159=0,0,Q159/O159)</x:f>
        <x:v>0.40970948134203344</x:v>
      </x:c>
    </x:row>
    <x:row r="160">
      <x:c r="A160" t="str">
        <x:f>'Datos_Brutos'!A160</x:f>
        <x:v>V-0159</x:v>
      </x:c>
      <x:c r="B160" s="10" t="n">
        <x:f>'Datos_Brutos'!B160</x:f>
        <x:v>46132</x:v>
      </x:c>
      <x:c r="C160" t="str">
        <x:f>TEXT(B160,"yyyy-mm")</x:f>
        <x:v>2026-04</x:v>
      </x:c>
      <x:c r="D160" t="str">
        <x:f>'Datos_Brutos'!C160</x:f>
        <x:v>Cliente 009</x:v>
      </x:c>
      <x:c r="E160" t="str">
        <x:f>'Datos_Brutos'!D160</x:f>
        <x:v>Auriculares</x:v>
      </x:c>
      <x:c r="F160" t="str">
        <x:f>'Datos_Brutos'!E160</x:f>
        <x:v>Tecnología</x:v>
      </x:c>
      <x:c r="G160" t="str">
        <x:f>VLOOKUP('Datos_Brutos'!F160,Listas!$A$2:$B$13,2,FALSE)</x:f>
        <x:v>Valparaíso</x:v>
      </x:c>
      <x:c r="H160" t="str">
        <x:f>VLOOKUP('Datos_Brutos'!G160,Listas!$D$2:$E$10,2,FALSE)</x:f>
        <x:v>Web</x:v>
      </x:c>
      <x:c r="I160" t="n">
        <x:f>'Datos_Brutos'!H160</x:f>
        <x:v>2</x:v>
      </x:c>
      <x:c r="J160" s="12" t="n">
        <x:f>'Datos_Brutos'!I160</x:f>
        <x:v>24990</x:v>
      </x:c>
      <x:c r="K160" s="12" t="n">
        <x:f>'Datos_Brutos'!J160</x:f>
        <x:v>14500</x:v>
      </x:c>
      <x:c r="L160" s="14" t="n">
        <x:f>'Datos_Brutos'!K160</x:f>
        <x:v>0.15</x:v>
      </x:c>
      <x:c r="M160" t="str">
        <x:f>VLOOKUP('Datos_Brutos'!L160,Listas!$G$2:$H$10,2,FALSE)</x:f>
        <x:v>Completado</x:v>
      </x:c>
      <x:c r="N160" s="12" t="n">
        <x:f>I160*J160</x:f>
        <x:v>49980</x:v>
      </x:c>
      <x:c r="O160" s="12" t="n">
        <x:f>IF(M160="Cancelado",0,N160*(1-L160))</x:f>
        <x:v>42483</x:v>
      </x:c>
      <x:c r="P160" s="12" t="n">
        <x:f>IF(M160="Cancelado",0,I160*K160)</x:f>
        <x:v>29000</x:v>
      </x:c>
      <x:c r="Q160" s="12" t="n">
        <x:f>O160-P160</x:f>
        <x:v>13483</x:v>
      </x:c>
      <x:c r="R160" s="26" t="n">
        <x:f>IF(O160=0,0,Q160/O160)</x:f>
        <x:v>0.31737400842690017</x:v>
      </x:c>
    </x:row>
    <x:row r="161">
      <x:c r="A161" t="str">
        <x:f>'Datos_Brutos'!A161</x:f>
        <x:v>V-0160</x:v>
      </x:c>
      <x:c r="B161" s="10" t="n">
        <x:f>'Datos_Brutos'!B161</x:f>
        <x:v>46157</x:v>
      </x:c>
      <x:c r="C161" t="str">
        <x:f>TEXT(B161,"yyyy-mm")</x:f>
        <x:v>2026-05</x:v>
      </x:c>
      <x:c r="D161" t="str">
        <x:f>'Datos_Brutos'!C161</x:f>
        <x:v>Cliente 003</x:v>
      </x:c>
      <x:c r="E161" t="str">
        <x:f>'Datos_Brutos'!D161</x:f>
        <x:v>Mochila</x:v>
      </x:c>
      <x:c r="F161" t="str">
        <x:f>'Datos_Brutos'!E161</x:f>
        <x:v>Moda</x:v>
      </x:c>
      <x:c r="G161" t="str">
        <x:f>VLOOKUP('Datos_Brutos'!F161,Listas!$A$2:$B$13,2,FALSE)</x:f>
        <x:v>Metropolitana</x:v>
      </x:c>
      <x:c r="H161" t="str">
        <x:f>VLOOKUP('Datos_Brutos'!G161,Listas!$D$2:$E$10,2,FALSE)</x:f>
        <x:v>Marketplace</x:v>
      </x:c>
      <x:c r="I161" t="n">
        <x:f>'Datos_Brutos'!H161</x:f>
        <x:v>1</x:v>
      </x:c>
      <x:c r="J161" s="12" t="n">
        <x:f>'Datos_Brutos'!I161</x:f>
        <x:v>26990</x:v>
      </x:c>
      <x:c r="K161" s="12" t="n">
        <x:f>'Datos_Brutos'!J161</x:f>
        <x:v>12000</x:v>
      </x:c>
      <x:c r="L161" s="14" t="n">
        <x:f>'Datos_Brutos'!K161</x:f>
        <x:v>0</x:v>
      </x:c>
      <x:c r="M161" t="str">
        <x:f>VLOOKUP('Datos_Brutos'!L161,Listas!$G$2:$H$10,2,FALSE)</x:f>
        <x:v>Completado</x:v>
      </x:c>
      <x:c r="N161" s="12" t="n">
        <x:f>I161*J161</x:f>
        <x:v>26990</x:v>
      </x:c>
      <x:c r="O161" s="12" t="n">
        <x:f>IF(M161="Cancelado",0,N161*(1-L161))</x:f>
        <x:v>26990</x:v>
      </x:c>
      <x:c r="P161" s="12" t="n">
        <x:f>IF(M161="Cancelado",0,I161*K161)</x:f>
        <x:v>12000</x:v>
      </x:c>
      <x:c r="Q161" s="12" t="n">
        <x:f>O161-P161</x:f>
        <x:v>14990</x:v>
      </x:c>
      <x:c r="R161" s="26" t="n">
        <x:f>IF(O161=0,0,Q161/O161)</x:f>
        <x:v>0.555390885513153</x:v>
      </x:c>
    </x:row>
    <x:row r="162">
      <x:c r="A162" t="str">
        <x:f>'Datos_Brutos'!A162</x:f>
        <x:v>V-0161</x:v>
      </x:c>
      <x:c r="B162" s="10" t="n">
        <x:f>'Datos_Brutos'!B162</x:f>
        <x:v>46114</x:v>
      </x:c>
      <x:c r="C162" t="str">
        <x:f>TEXT(B162,"yyyy-mm")</x:f>
        <x:v>2026-04</x:v>
      </x:c>
      <x:c r="D162" t="str">
        <x:f>'Datos_Brutos'!C162</x:f>
        <x:v>Cliente 023</x:v>
      </x:c>
      <x:c r="E162" t="str">
        <x:f>'Datos_Brutos'!D162</x:f>
        <x:v>Teclado</x:v>
      </x:c>
      <x:c r="F162" t="str">
        <x:f>'Datos_Brutos'!E162</x:f>
        <x:v>Tecnología</x:v>
      </x:c>
      <x:c r="G162" t="str">
        <x:f>VLOOKUP('Datos_Brutos'!F162,Listas!$A$2:$B$13,2,FALSE)</x:f>
        <x:v>Metropolitana</x:v>
      </x:c>
      <x:c r="H162" t="str">
        <x:f>VLOOKUP('Datos_Brutos'!G162,Listas!$D$2:$E$10,2,FALSE)</x:f>
        <x:v>Instagram</x:v>
      </x:c>
      <x:c r="I162" t="n">
        <x:f>'Datos_Brutos'!H162</x:f>
        <x:v>1</x:v>
      </x:c>
      <x:c r="J162" s="12" t="n">
        <x:f>'Datos_Brutos'!I162</x:f>
        <x:v>32990</x:v>
      </x:c>
      <x:c r="K162" s="12" t="n">
        <x:f>'Datos_Brutos'!J162</x:f>
        <x:v>18500</x:v>
      </x:c>
      <x:c r="L162" s="14" t="n">
        <x:f>'Datos_Brutos'!K162</x:f>
        <x:v>0</x:v>
      </x:c>
      <x:c r="M162" t="str">
        <x:f>VLOOKUP('Datos_Brutos'!L162,Listas!$G$2:$H$10,2,FALSE)</x:f>
        <x:v>Completado</x:v>
      </x:c>
      <x:c r="N162" s="12" t="n">
        <x:f>I162*J162</x:f>
        <x:v>32990</x:v>
      </x:c>
      <x:c r="O162" s="12" t="n">
        <x:f>IF(M162="Cancelado",0,N162*(1-L162))</x:f>
        <x:v>32990</x:v>
      </x:c>
      <x:c r="P162" s="12" t="n">
        <x:f>IF(M162="Cancelado",0,I162*K162)</x:f>
        <x:v>18500</x:v>
      </x:c>
      <x:c r="Q162" s="12" t="n">
        <x:f>O162-P162</x:f>
        <x:v>14490</x:v>
      </x:c>
      <x:c r="R162" s="26" t="n">
        <x:f>IF(O162=0,0,Q162/O162)</x:f>
        <x:v>0.43922400727493177</x:v>
      </x:c>
    </x:row>
    <x:row r="163">
      <x:c r="A163" t="str">
        <x:f>'Datos_Brutos'!A163</x:f>
        <x:v>V-0162</x:v>
      </x:c>
      <x:c r="B163" s="10" t="n">
        <x:f>'Datos_Brutos'!B163</x:f>
        <x:v>46235</x:v>
      </x:c>
      <x:c r="C163" t="str">
        <x:f>TEXT(B163,"yyyy-mm")</x:f>
        <x:v>2026-08</x:v>
      </x:c>
      <x:c r="D163" t="str">
        <x:f>'Datos_Brutos'!C163</x:f>
        <x:v>Cliente 026</x:v>
      </x:c>
      <x:c r="E163" t="str">
        <x:f>'Datos_Brutos'!D163</x:f>
        <x:v>Planner</x:v>
      </x:c>
      <x:c r="F163" t="str">
        <x:f>'Datos_Brutos'!E163</x:f>
        <x:v>Papelería</x:v>
      </x:c>
      <x:c r="G163" t="str">
        <x:f>VLOOKUP('Datos_Brutos'!F163,Listas!$A$2:$B$13,2,FALSE)</x:f>
        <x:v>Maule</x:v>
      </x:c>
      <x:c r="H163" t="str">
        <x:f>VLOOKUP('Datos_Brutos'!G163,Listas!$D$2:$E$10,2,FALSE)</x:f>
        <x:v>Web</x:v>
      </x:c>
      <x:c r="I163" t="n">
        <x:f>'Datos_Brutos'!H163</x:f>
        <x:v>1</x:v>
      </x:c>
      <x:c r="J163" s="12" t="n">
        <x:f>'Datos_Brutos'!I163</x:f>
        <x:v>12990</x:v>
      </x:c>
      <x:c r="K163" s="12" t="n">
        <x:f>'Datos_Brutos'!J163</x:f>
        <x:v>4800</x:v>
      </x:c>
      <x:c r="L163" s="14" t="n">
        <x:f>'Datos_Brutos'!K163</x:f>
        <x:v>0</x:v>
      </x:c>
      <x:c r="M163" t="str">
        <x:f>VLOOKUP('Datos_Brutos'!L163,Listas!$G$2:$H$10,2,FALSE)</x:f>
        <x:v>Completado</x:v>
      </x:c>
      <x:c r="N163" s="12" t="n">
        <x:f>I163*J163</x:f>
        <x:v>12990</x:v>
      </x:c>
      <x:c r="O163" s="12" t="n">
        <x:f>IF(M163="Cancelado",0,N163*(1-L163))</x:f>
        <x:v>12990</x:v>
      </x:c>
      <x:c r="P163" s="12" t="n">
        <x:f>IF(M163="Cancelado",0,I163*K163)</x:f>
        <x:v>4800</x:v>
      </x:c>
      <x:c r="Q163" s="12" t="n">
        <x:f>O163-P163</x:f>
        <x:v>8190</x:v>
      </x:c>
      <x:c r="R163" s="26" t="n">
        <x:f>IF(O163=0,0,Q163/O163)</x:f>
        <x:v>0.6304849884526559</x:v>
      </x:c>
    </x:row>
    <x:row r="164">
      <x:c r="A164" t="str">
        <x:f>'Datos_Brutos'!A164</x:f>
        <x:v>V-0163</x:v>
      </x:c>
      <x:c r="B164" s="10" t="n">
        <x:f>'Datos_Brutos'!B164</x:f>
        <x:v>46034</x:v>
      </x:c>
      <x:c r="C164" t="str">
        <x:f>TEXT(B164,"yyyy-mm")</x:f>
        <x:v>2026-01</x:v>
      </x:c>
      <x:c r="D164" t="str">
        <x:f>'Datos_Brutos'!C164</x:f>
        <x:v>Cliente 025</x:v>
      </x:c>
      <x:c r="E164" t="str">
        <x:f>'Datos_Brutos'!D164</x:f>
        <x:v>Lámpara</x:v>
      </x:c>
      <x:c r="F164" t="str">
        <x:f>'Datos_Brutos'!E164</x:f>
        <x:v>Hogar</x:v>
      </x:c>
      <x:c r="G164" t="str">
        <x:f>VLOOKUP('Datos_Brutos'!F164,Listas!$A$2:$B$13,2,FALSE)</x:f>
        <x:v>Biobío</x:v>
      </x:c>
      <x:c r="H164" t="str">
        <x:f>VLOOKUP('Datos_Brutos'!G164,Listas!$D$2:$E$10,2,FALSE)</x:f>
        <x:v>Web</x:v>
      </x:c>
      <x:c r="I164" t="n">
        <x:f>'Datos_Brutos'!H164</x:f>
        <x:v>3</x:v>
      </x:c>
      <x:c r="J164" s="12" t="n">
        <x:f>'Datos_Brutos'!I164</x:f>
        <x:v>21990</x:v>
      </x:c>
      <x:c r="K164" s="12" t="n">
        <x:f>'Datos_Brutos'!J164</x:f>
        <x:v>11000</x:v>
      </x:c>
      <x:c r="L164" s="14" t="n">
        <x:f>'Datos_Brutos'!K164</x:f>
        <x:v>0.05</x:v>
      </x:c>
      <x:c r="M164" t="str">
        <x:f>VLOOKUP('Datos_Brutos'!L164,Listas!$G$2:$H$10,2,FALSE)</x:f>
        <x:v>Completado</x:v>
      </x:c>
      <x:c r="N164" s="12" t="n">
        <x:f>I164*J164</x:f>
        <x:v>65970</x:v>
      </x:c>
      <x:c r="O164" s="12" t="n">
        <x:f>IF(M164="Cancelado",0,N164*(1-L164))</x:f>
        <x:v>62671.5</x:v>
      </x:c>
      <x:c r="P164" s="12" t="n">
        <x:f>IF(M164="Cancelado",0,I164*K164)</x:f>
        <x:v>33000</x:v>
      </x:c>
      <x:c r="Q164" s="12" t="n">
        <x:f>O164-P164</x:f>
        <x:v>29671.5</x:v>
      </x:c>
      <x:c r="R164" s="26" t="n">
        <x:f>IF(O164=0,0,Q164/O164)</x:f>
        <x:v>0.47344486728417223</x:v>
      </x:c>
    </x:row>
    <x:row r="165">
      <x:c r="A165" t="str">
        <x:f>'Datos_Brutos'!A165</x:f>
        <x:v>V-0164</x:v>
      </x:c>
      <x:c r="B165" s="10" t="n">
        <x:f>'Datos_Brutos'!B165</x:f>
        <x:v>46096</x:v>
      </x:c>
      <x:c r="C165" t="str">
        <x:f>TEXT(B165,"yyyy-mm")</x:f>
        <x:v>2026-03</x:v>
      </x:c>
      <x:c r="D165" t="str">
        <x:f>'Datos_Brutos'!C165</x:f>
        <x:v>Cliente 057</x:v>
      </x:c>
      <x:c r="E165" t="str">
        <x:f>'Datos_Brutos'!D165</x:f>
        <x:v>Botella térmica</x:v>
      </x:c>
      <x:c r="F165" t="str">
        <x:f>'Datos_Brutos'!E165</x:f>
        <x:v>Hogar</x:v>
      </x:c>
      <x:c r="G165" t="str">
        <x:f>VLOOKUP('Datos_Brutos'!F165,Listas!$A$2:$B$13,2,FALSE)</x:f>
        <x:v>Metropolitana</x:v>
      </x:c>
      <x:c r="H165" t="str">
        <x:f>VLOOKUP('Datos_Brutos'!G165,Listas!$D$2:$E$10,2,FALSE)</x:f>
        <x:v>Web</x:v>
      </x:c>
      <x:c r="I165" t="n">
        <x:f>'Datos_Brutos'!H165</x:f>
        <x:v>3</x:v>
      </x:c>
      <x:c r="J165" s="12" t="n">
        <x:f>'Datos_Brutos'!I165</x:f>
        <x:v>17990</x:v>
      </x:c>
      <x:c r="K165" s="12" t="n">
        <x:f>'Datos_Brutos'!J165</x:f>
        <x:v>8300</x:v>
      </x:c>
      <x:c r="L165" s="14" t="n">
        <x:f>'Datos_Brutos'!K165</x:f>
        <x:v>0.1</x:v>
      </x:c>
      <x:c r="M165" t="str">
        <x:f>VLOOKUP('Datos_Brutos'!L165,Listas!$G$2:$H$10,2,FALSE)</x:f>
        <x:v>Completado</x:v>
      </x:c>
      <x:c r="N165" s="12" t="n">
        <x:f>I165*J165</x:f>
        <x:v>53970</x:v>
      </x:c>
      <x:c r="O165" s="12" t="n">
        <x:f>IF(M165="Cancelado",0,N165*(1-L165))</x:f>
        <x:v>48573</x:v>
      </x:c>
      <x:c r="P165" s="12" t="n">
        <x:f>IF(M165="Cancelado",0,I165*K165)</x:f>
        <x:v>24900</x:v>
      </x:c>
      <x:c r="Q165" s="12" t="n">
        <x:f>O165-P165</x:f>
        <x:v>23673</x:v>
      </x:c>
      <x:c r="R165" s="26" t="n">
        <x:f>IF(O165=0,0,Q165/O165)</x:f>
        <x:v>0.4873695262800321</x:v>
      </x:c>
    </x:row>
    <x:row r="166">
      <x:c r="A166" t="str">
        <x:f>'Datos_Brutos'!A166</x:f>
        <x:v>V-0165</x:v>
      </x:c>
      <x:c r="B166" s="10" t="n">
        <x:f>'Datos_Brutos'!B166</x:f>
        <x:v>46252</x:v>
      </x:c>
      <x:c r="C166" t="str">
        <x:f>TEXT(B166,"yyyy-mm")</x:f>
        <x:v>2026-08</x:v>
      </x:c>
      <x:c r="D166" t="str">
        <x:f>'Datos_Brutos'!C166</x:f>
        <x:v>Cliente 011</x:v>
      </x:c>
      <x:c r="E166" t="str">
        <x:f>'Datos_Brutos'!D166</x:f>
        <x:v>Polera básica</x:v>
      </x:c>
      <x:c r="F166" t="str">
        <x:f>'Datos_Brutos'!E166</x:f>
        <x:v>Moda</x:v>
      </x:c>
      <x:c r="G166" t="str">
        <x:f>VLOOKUP('Datos_Brutos'!F166,Listas!$A$2:$B$13,2,FALSE)</x:f>
        <x:v>Valparaíso</x:v>
      </x:c>
      <x:c r="H166" t="str">
        <x:f>VLOOKUP('Datos_Brutos'!G166,Listas!$D$2:$E$10,2,FALSE)</x:f>
        <x:v>Instagram</x:v>
      </x:c>
      <x:c r="I166" t="n">
        <x:f>'Datos_Brutos'!H166</x:f>
        <x:v>1</x:v>
      </x:c>
      <x:c r="J166" s="12" t="n">
        <x:f>'Datos_Brutos'!I166</x:f>
        <x:v>15990</x:v>
      </x:c>
      <x:c r="K166" s="12" t="n">
        <x:f>'Datos_Brutos'!J166</x:f>
        <x:v>6800</x:v>
      </x:c>
      <x:c r="L166" s="14" t="n">
        <x:f>'Datos_Brutos'!K166</x:f>
        <x:v>0</x:v>
      </x:c>
      <x:c r="M166" t="str">
        <x:f>VLOOKUP('Datos_Brutos'!L166,Listas!$G$2:$H$10,2,FALSE)</x:f>
        <x:v>Cancelado</x:v>
      </x:c>
      <x:c r="N166" s="12" t="n">
        <x:f>I166*J166</x:f>
        <x:v>15990</x:v>
      </x:c>
      <x:c r="O166" s="12" t="n">
        <x:f>IF(M166="Cancelado",0,N166*(1-L166))</x:f>
        <x:v>0</x:v>
      </x:c>
      <x:c r="P166" s="12" t="n">
        <x:f>IF(M166="Cancelado",0,I166*K166)</x:f>
        <x:v>0</x:v>
      </x:c>
      <x:c r="Q166" s="12" t="n">
        <x:f>O166-P166</x:f>
        <x:v>0</x:v>
      </x:c>
      <x:c r="R166" s="26" t="n">
        <x:f>IF(O166=0,0,Q166/O166)</x:f>
        <x:v>0</x:v>
      </x:c>
    </x:row>
    <x:row r="167">
      <x:c r="A167" t="str">
        <x:f>'Datos_Brutos'!A167</x:f>
        <x:v>V-0166</x:v>
      </x:c>
      <x:c r="B167" s="10" t="n">
        <x:f>'Datos_Brutos'!B167</x:f>
        <x:v>46209</x:v>
      </x:c>
      <x:c r="C167" t="str">
        <x:f>TEXT(B167,"yyyy-mm")</x:f>
        <x:v>2026-07</x:v>
      </x:c>
      <x:c r="D167" t="str">
        <x:f>'Datos_Brutos'!C167</x:f>
        <x:v>Cliente 058</x:v>
      </x:c>
      <x:c r="E167" t="str">
        <x:f>'Datos_Brutos'!D167</x:f>
        <x:v>Polera básica</x:v>
      </x:c>
      <x:c r="F167" t="str">
        <x:f>'Datos_Brutos'!E167</x:f>
        <x:v>Moda</x:v>
      </x:c>
      <x:c r="G167" t="str">
        <x:f>VLOOKUP('Datos_Brutos'!F167,Listas!$A$2:$B$13,2,FALSE)</x:f>
        <x:v>Valparaíso</x:v>
      </x:c>
      <x:c r="H167" t="str">
        <x:f>VLOOKUP('Datos_Brutos'!G167,Listas!$D$2:$E$10,2,FALSE)</x:f>
        <x:v>Web</x:v>
      </x:c>
      <x:c r="I167" t="n">
        <x:f>'Datos_Brutos'!H167</x:f>
        <x:v>1</x:v>
      </x:c>
      <x:c r="J167" s="12" t="n">
        <x:f>'Datos_Brutos'!I167</x:f>
        <x:v>15990</x:v>
      </x:c>
      <x:c r="K167" s="12" t="n">
        <x:f>'Datos_Brutos'!J167</x:f>
        <x:v>6800</x:v>
      </x:c>
      <x:c r="L167" s="14" t="n">
        <x:f>'Datos_Brutos'!K167</x:f>
        <x:v>0</x:v>
      </x:c>
      <x:c r="M167" t="str">
        <x:f>VLOOKUP('Datos_Brutos'!L167,Listas!$G$2:$H$10,2,FALSE)</x:f>
        <x:v>Completado</x:v>
      </x:c>
      <x:c r="N167" s="12" t="n">
        <x:f>I167*J167</x:f>
        <x:v>15990</x:v>
      </x:c>
      <x:c r="O167" s="12" t="n">
        <x:f>IF(M167="Cancelado",0,N167*(1-L167))</x:f>
        <x:v>15990</x:v>
      </x:c>
      <x:c r="P167" s="12" t="n">
        <x:f>IF(M167="Cancelado",0,I167*K167)</x:f>
        <x:v>6800</x:v>
      </x:c>
      <x:c r="Q167" s="12" t="n">
        <x:f>O167-P167</x:f>
        <x:v>9190</x:v>
      </x:c>
      <x:c r="R167" s="26" t="n">
        <x:f>IF(O167=0,0,Q167/O167)</x:f>
        <x:v>0.5747342088805504</x:v>
      </x:c>
    </x:row>
    <x:row r="168">
      <x:c r="A168" t="str">
        <x:f>'Datos_Brutos'!A168</x:f>
        <x:v>V-0167</x:v>
      </x:c>
      <x:c r="B168" s="10" t="n">
        <x:f>'Datos_Brutos'!B168</x:f>
        <x:v>46177</x:v>
      </x:c>
      <x:c r="C168" t="str">
        <x:f>TEXT(B168,"yyyy-mm")</x:f>
        <x:v>2026-06</x:v>
      </x:c>
      <x:c r="D168" t="str">
        <x:f>'Datos_Brutos'!C168</x:f>
        <x:v>Cliente 056</x:v>
      </x:c>
      <x:c r="E168" t="str">
        <x:f>'Datos_Brutos'!D168</x:f>
        <x:v>Set de lápices</x:v>
      </x:c>
      <x:c r="F168" t="str">
        <x:f>'Datos_Brutos'!E168</x:f>
        <x:v>Papelería</x:v>
      </x:c>
      <x:c r="G168" t="str">
        <x:f>VLOOKUP('Datos_Brutos'!F168,Listas!$A$2:$B$13,2,FALSE)</x:f>
        <x:v>Maule</x:v>
      </x:c>
      <x:c r="H168" t="str">
        <x:f>VLOOKUP('Datos_Brutos'!G168,Listas!$D$2:$E$10,2,FALSE)</x:f>
        <x:v>Web</x:v>
      </x:c>
      <x:c r="I168" t="n">
        <x:f>'Datos_Brutos'!H168</x:f>
        <x:v>1</x:v>
      </x:c>
      <x:c r="J168" s="12" t="n">
        <x:f>'Datos_Brutos'!I168</x:f>
        <x:v>7990</x:v>
      </x:c>
      <x:c r="K168" s="12" t="n">
        <x:f>'Datos_Brutos'!J168</x:f>
        <x:v>2600</x:v>
      </x:c>
      <x:c r="L168" s="14" t="n">
        <x:f>'Datos_Brutos'!K168</x:f>
        <x:v>0.05</x:v>
      </x:c>
      <x:c r="M168" t="str">
        <x:f>VLOOKUP('Datos_Brutos'!L168,Listas!$G$2:$H$10,2,FALSE)</x:f>
        <x:v>Pendiente</x:v>
      </x:c>
      <x:c r="N168" s="12" t="n">
        <x:f>I168*J168</x:f>
        <x:v>7990</x:v>
      </x:c>
      <x:c r="O168" s="12" t="n">
        <x:f>IF(M168="Cancelado",0,N168*(1-L168))</x:f>
        <x:v>7590.5</x:v>
      </x:c>
      <x:c r="P168" s="12" t="n">
        <x:f>IF(M168="Cancelado",0,I168*K168)</x:f>
        <x:v>2600</x:v>
      </x:c>
      <x:c r="Q168" s="12" t="n">
        <x:f>O168-P168</x:f>
        <x:v>4990.5</x:v>
      </x:c>
      <x:c r="R168" s="26" t="n">
        <x:f>IF(O168=0,0,Q168/O168)</x:f>
        <x:v>0.6574665700546736</x:v>
      </x:c>
    </x:row>
    <x:row r="169">
      <x:c r="A169" t="str">
        <x:f>'Datos_Brutos'!A169</x:f>
        <x:v>V-0168</x:v>
      </x:c>
      <x:c r="B169" s="10" t="n">
        <x:f>'Datos_Brutos'!B169</x:f>
        <x:v>46093</x:v>
      </x:c>
      <x:c r="C169" t="str">
        <x:f>TEXT(B169,"yyyy-mm")</x:f>
        <x:v>2026-03</x:v>
      </x:c>
      <x:c r="D169" t="str">
        <x:f>'Datos_Brutos'!C169</x:f>
        <x:v>Cliente 004</x:v>
      </x:c>
      <x:c r="E169" t="str">
        <x:f>'Datos_Brutos'!D169</x:f>
        <x:v>Planner</x:v>
      </x:c>
      <x:c r="F169" t="str">
        <x:f>'Datos_Brutos'!E169</x:f>
        <x:v>Papelería</x:v>
      </x:c>
      <x:c r="G169" t="str">
        <x:f>VLOOKUP('Datos_Brutos'!F169,Listas!$A$2:$B$13,2,FALSE)</x:f>
        <x:v>Metropolitana</x:v>
      </x:c>
      <x:c r="H169" t="str">
        <x:f>VLOOKUP('Datos_Brutos'!G169,Listas!$D$2:$E$10,2,FALSE)</x:f>
        <x:v>Instagram</x:v>
      </x:c>
      <x:c r="I169" t="n">
        <x:f>'Datos_Brutos'!H169</x:f>
        <x:v>4</x:v>
      </x:c>
      <x:c r="J169" s="12" t="n">
        <x:f>'Datos_Brutos'!I169</x:f>
        <x:v>12990</x:v>
      </x:c>
      <x:c r="K169" s="12" t="n">
        <x:f>'Datos_Brutos'!J169</x:f>
        <x:v>4800</x:v>
      </x:c>
      <x:c r="L169" s="14" t="n">
        <x:f>'Datos_Brutos'!K169</x:f>
        <x:v>0.05</x:v>
      </x:c>
      <x:c r="M169" t="str">
        <x:f>VLOOKUP('Datos_Brutos'!L169,Listas!$G$2:$H$10,2,FALSE)</x:f>
        <x:v>Completado</x:v>
      </x:c>
      <x:c r="N169" s="12" t="n">
        <x:f>I169*J169</x:f>
        <x:v>51960</x:v>
      </x:c>
      <x:c r="O169" s="12" t="n">
        <x:f>IF(M169="Cancelado",0,N169*(1-L169))</x:f>
        <x:v>49362</x:v>
      </x:c>
      <x:c r="P169" s="12" t="n">
        <x:f>IF(M169="Cancelado",0,I169*K169)</x:f>
        <x:v>19200</x:v>
      </x:c>
      <x:c r="Q169" s="12" t="n">
        <x:f>O169-P169</x:f>
        <x:v>30162</x:v>
      </x:c>
      <x:c r="R169" s="26" t="n">
        <x:f>IF(O169=0,0,Q169/O169)</x:f>
        <x:v>0.6110368299501641</x:v>
      </x:c>
    </x:row>
    <x:row r="170">
      <x:c r="A170" t="str">
        <x:f>'Datos_Brutos'!A170</x:f>
        <x:v>V-0169</x:v>
      </x:c>
      <x:c r="B170" s="10" t="n">
        <x:f>'Datos_Brutos'!B170</x:f>
        <x:v>46059</x:v>
      </x:c>
      <x:c r="C170" t="str">
        <x:f>TEXT(B170,"yyyy-mm")</x:f>
        <x:v>2026-02</x:v>
      </x:c>
      <x:c r="D170" t="str">
        <x:f>'Datos_Brutos'!C170</x:f>
        <x:v>Cliente 073</x:v>
      </x:c>
      <x:c r="E170" t="str">
        <x:f>'Datos_Brutos'!D170</x:f>
        <x:v>Cuaderno premium</x:v>
      </x:c>
      <x:c r="F170" t="str">
        <x:f>'Datos_Brutos'!E170</x:f>
        <x:v>Papelería</x:v>
      </x:c>
      <x:c r="G170" t="str">
        <x:f>VLOOKUP('Datos_Brutos'!F170,Listas!$A$2:$B$13,2,FALSE)</x:f>
        <x:v>Maule</x:v>
      </x:c>
      <x:c r="H170" t="str">
        <x:f>VLOOKUP('Datos_Brutos'!G170,Listas!$D$2:$E$10,2,FALSE)</x:f>
        <x:v>Web</x:v>
      </x:c>
      <x:c r="I170" t="n">
        <x:f>'Datos_Brutos'!H170</x:f>
        <x:v>2</x:v>
      </x:c>
      <x:c r="J170" s="12" t="n">
        <x:f>'Datos_Brutos'!I170</x:f>
        <x:v>9990</x:v>
      </x:c>
      <x:c r="K170" s="12" t="n">
        <x:f>'Datos_Brutos'!J170</x:f>
        <x:v>3900</x:v>
      </x:c>
      <x:c r="L170" s="14" t="n">
        <x:f>'Datos_Brutos'!K170</x:f>
        <x:v>0</x:v>
      </x:c>
      <x:c r="M170" t="str">
        <x:f>VLOOKUP('Datos_Brutos'!L170,Listas!$G$2:$H$10,2,FALSE)</x:f>
        <x:v>Completado</x:v>
      </x:c>
      <x:c r="N170" s="12" t="n">
        <x:f>I170*J170</x:f>
        <x:v>19980</x:v>
      </x:c>
      <x:c r="O170" s="12" t="n">
        <x:f>IF(M170="Cancelado",0,N170*(1-L170))</x:f>
        <x:v>19980</x:v>
      </x:c>
      <x:c r="P170" s="12" t="n">
        <x:f>IF(M170="Cancelado",0,I170*K170)</x:f>
        <x:v>7800</x:v>
      </x:c>
      <x:c r="Q170" s="12" t="n">
        <x:f>O170-P170</x:f>
        <x:v>12180</x:v>
      </x:c>
      <x:c r="R170" s="26" t="n">
        <x:f>IF(O170=0,0,Q170/O170)</x:f>
        <x:v>0.6096096096096096</x:v>
      </x:c>
    </x:row>
    <x:row r="171">
      <x:c r="A171" t="str">
        <x:f>'Datos_Brutos'!A171</x:f>
        <x:v>V-0170</x:v>
      </x:c>
      <x:c r="B171" s="10" t="n">
        <x:f>'Datos_Brutos'!B171</x:f>
        <x:v>46031</x:v>
      </x:c>
      <x:c r="C171" t="str">
        <x:f>TEXT(B171,"yyyy-mm")</x:f>
        <x:v>2026-01</x:v>
      </x:c>
      <x:c r="D171" t="str">
        <x:f>'Datos_Brutos'!C171</x:f>
        <x:v>Cliente 041</x:v>
      </x:c>
      <x:c r="E171" t="str">
        <x:f>'Datos_Brutos'!D171</x:f>
        <x:v>Cuaderno premium</x:v>
      </x:c>
      <x:c r="F171" t="str">
        <x:f>'Datos_Brutos'!E171</x:f>
        <x:v>Papelería</x:v>
      </x:c>
      <x:c r="G171" t="str">
        <x:f>VLOOKUP('Datos_Brutos'!F171,Listas!$A$2:$B$13,2,FALSE)</x:f>
        <x:v>Maule</x:v>
      </x:c>
      <x:c r="H171" t="str">
        <x:f>VLOOKUP('Datos_Brutos'!G171,Listas!$D$2:$E$10,2,FALSE)</x:f>
        <x:v>Web</x:v>
      </x:c>
      <x:c r="I171" t="n">
        <x:f>'Datos_Brutos'!H171</x:f>
        <x:v>1</x:v>
      </x:c>
      <x:c r="J171" s="12" t="n">
        <x:f>'Datos_Brutos'!I171</x:f>
        <x:v>9990</x:v>
      </x:c>
      <x:c r="K171" s="12" t="n">
        <x:f>'Datos_Brutos'!J171</x:f>
        <x:v>3900</x:v>
      </x:c>
      <x:c r="L171" s="14" t="n">
        <x:f>'Datos_Brutos'!K171</x:f>
        <x:v>0</x:v>
      </x:c>
      <x:c r="M171" t="str">
        <x:f>VLOOKUP('Datos_Brutos'!L171,Listas!$G$2:$H$10,2,FALSE)</x:f>
        <x:v>Completado</x:v>
      </x:c>
      <x:c r="N171" s="12" t="n">
        <x:f>I171*J171</x:f>
        <x:v>9990</x:v>
      </x:c>
      <x:c r="O171" s="12" t="n">
        <x:f>IF(M171="Cancelado",0,N171*(1-L171))</x:f>
        <x:v>9990</x:v>
      </x:c>
      <x:c r="P171" s="12" t="n">
        <x:f>IF(M171="Cancelado",0,I171*K171)</x:f>
        <x:v>3900</x:v>
      </x:c>
      <x:c r="Q171" s="12" t="n">
        <x:f>O171-P171</x:f>
        <x:v>6090</x:v>
      </x:c>
      <x:c r="R171" s="26" t="n">
        <x:f>IF(O171=0,0,Q171/O171)</x:f>
        <x:v>0.6096096096096096</x:v>
      </x:c>
    </x:row>
    <x:row r="172">
      <x:c r="A172" t="str">
        <x:f>'Datos_Brutos'!A172</x:f>
        <x:v>V-0171</x:v>
      </x:c>
      <x:c r="B172" s="10" t="n">
        <x:f>'Datos_Brutos'!B172</x:f>
        <x:v>46189</x:v>
      </x:c>
      <x:c r="C172" t="str">
        <x:f>TEXT(B172,"yyyy-mm")</x:f>
        <x:v>2026-06</x:v>
      </x:c>
      <x:c r="D172" t="str">
        <x:f>'Datos_Brutos'!C172</x:f>
        <x:v>Cliente 034</x:v>
      </x:c>
      <x:c r="E172" t="str">
        <x:f>'Datos_Brutos'!D172</x:f>
        <x:v>Organizador</x:v>
      </x:c>
      <x:c r="F172" t="str">
        <x:f>'Datos_Brutos'!E172</x:f>
        <x:v>Hogar</x:v>
      </x:c>
      <x:c r="G172" t="str">
        <x:f>VLOOKUP('Datos_Brutos'!F172,Listas!$A$2:$B$13,2,FALSE)</x:f>
        <x:v>Metropolitana</x:v>
      </x:c>
      <x:c r="H172" t="str">
        <x:f>VLOOKUP('Datos_Brutos'!G172,Listas!$D$2:$E$10,2,FALSE)</x:f>
        <x:v>Instagram</x:v>
      </x:c>
      <x:c r="I172" t="n">
        <x:f>'Datos_Brutos'!H172</x:f>
        <x:v>1</x:v>
      </x:c>
      <x:c r="J172" s="12" t="n">
        <x:f>'Datos_Brutos'!I172</x:f>
        <x:v>14990</x:v>
      </x:c>
      <x:c r="K172" s="12" t="n">
        <x:f>'Datos_Brutos'!J172</x:f>
        <x:v>7200</x:v>
      </x:c>
      <x:c r="L172" s="14" t="n">
        <x:f>'Datos_Brutos'!K172</x:f>
        <x:v>0</x:v>
      </x:c>
      <x:c r="M172" t="str">
        <x:f>VLOOKUP('Datos_Brutos'!L172,Listas!$G$2:$H$10,2,FALSE)</x:f>
        <x:v>Completado</x:v>
      </x:c>
      <x:c r="N172" s="12" t="n">
        <x:f>I172*J172</x:f>
        <x:v>14990</x:v>
      </x:c>
      <x:c r="O172" s="12" t="n">
        <x:f>IF(M172="Cancelado",0,N172*(1-L172))</x:f>
        <x:v>14990</x:v>
      </x:c>
      <x:c r="P172" s="12" t="n">
        <x:f>IF(M172="Cancelado",0,I172*K172)</x:f>
        <x:v>7200</x:v>
      </x:c>
      <x:c r="Q172" s="12" t="n">
        <x:f>O172-P172</x:f>
        <x:v>7790</x:v>
      </x:c>
      <x:c r="R172" s="26" t="n">
        <x:f>IF(O172=0,0,Q172/O172)</x:f>
        <x:v>0.5196797865243495</x:v>
      </x:c>
    </x:row>
    <x:row r="173">
      <x:c r="A173" t="str">
        <x:f>'Datos_Brutos'!A173</x:f>
        <x:v>V-0172</x:v>
      </x:c>
      <x:c r="B173" s="10" t="n">
        <x:f>'Datos_Brutos'!B173</x:f>
        <x:v>46203</x:v>
      </x:c>
      <x:c r="C173" t="str">
        <x:f>TEXT(B173,"yyyy-mm")</x:f>
        <x:v>2026-06</x:v>
      </x:c>
      <x:c r="D173" t="str">
        <x:f>'Datos_Brutos'!C173</x:f>
        <x:v>Cliente 058</x:v>
      </x:c>
      <x:c r="E173" t="str">
        <x:f>'Datos_Brutos'!D173</x:f>
        <x:v>Polerón</x:v>
      </x:c>
      <x:c r="F173" t="str">
        <x:f>'Datos_Brutos'!E173</x:f>
        <x:v>Moda</x:v>
      </x:c>
      <x:c r="G173" t="str">
        <x:f>VLOOKUP('Datos_Brutos'!F173,Listas!$A$2:$B$13,2,FALSE)</x:f>
        <x:v>Biobío</x:v>
      </x:c>
      <x:c r="H173" t="str">
        <x:f>VLOOKUP('Datos_Brutos'!G173,Listas!$D$2:$E$10,2,FALSE)</x:f>
        <x:v>Marketplace</x:v>
      </x:c>
      <x:c r="I173" t="n">
        <x:f>'Datos_Brutos'!H173</x:f>
        <x:v>1</x:v>
      </x:c>
      <x:c r="J173" s="12" t="n">
        <x:f>'Datos_Brutos'!I173</x:f>
        <x:v>29990</x:v>
      </x:c>
      <x:c r="K173" s="12" t="n">
        <x:f>'Datos_Brutos'!J173</x:f>
        <x:v>13500</x:v>
      </x:c>
      <x:c r="L173" s="14" t="n">
        <x:f>'Datos_Brutos'!K173</x:f>
        <x:v>0.1</x:v>
      </x:c>
      <x:c r="M173" t="str">
        <x:f>VLOOKUP('Datos_Brutos'!L173,Listas!$G$2:$H$10,2,FALSE)</x:f>
        <x:v>Completado</x:v>
      </x:c>
      <x:c r="N173" s="12" t="n">
        <x:f>I173*J173</x:f>
        <x:v>29990</x:v>
      </x:c>
      <x:c r="O173" s="12" t="n">
        <x:f>IF(M173="Cancelado",0,N173*(1-L173))</x:f>
        <x:v>26991</x:v>
      </x:c>
      <x:c r="P173" s="12" t="n">
        <x:f>IF(M173="Cancelado",0,I173*K173)</x:f>
        <x:v>13500</x:v>
      </x:c>
      <x:c r="Q173" s="12" t="n">
        <x:f>O173-P173</x:f>
        <x:v>13491</x:v>
      </x:c>
      <x:c r="R173" s="26" t="n">
        <x:f>IF(O173=0,0,Q173/O173)</x:f>
        <x:v>0.49983327775925307</x:v>
      </x:c>
    </x:row>
    <x:row r="174">
      <x:c r="A174" t="str">
        <x:f>'Datos_Brutos'!A174</x:f>
        <x:v>V-0173</x:v>
      </x:c>
      <x:c r="B174" s="10" t="n">
        <x:f>'Datos_Brutos'!B174</x:f>
        <x:v>46067</x:v>
      </x:c>
      <x:c r="C174" t="str">
        <x:f>TEXT(B174,"yyyy-mm")</x:f>
        <x:v>2026-02</x:v>
      </x:c>
      <x:c r="D174" t="str">
        <x:f>'Datos_Brutos'!C174</x:f>
        <x:v>Cliente 070</x:v>
      </x:c>
      <x:c r="E174" t="str">
        <x:f>'Datos_Brutos'!D174</x:f>
        <x:v>Set de lápices</x:v>
      </x:c>
      <x:c r="F174" t="str">
        <x:f>'Datos_Brutos'!E174</x:f>
        <x:v>Papelería</x:v>
      </x:c>
      <x:c r="G174" t="str">
        <x:f>VLOOKUP('Datos_Brutos'!F174,Listas!$A$2:$B$13,2,FALSE)</x:f>
        <x:v>Metropolitana</x:v>
      </x:c>
      <x:c r="H174" t="str">
        <x:f>VLOOKUP('Datos_Brutos'!G174,Listas!$D$2:$E$10,2,FALSE)</x:f>
        <x:v>Marketplace</x:v>
      </x:c>
      <x:c r="I174" t="n">
        <x:f>'Datos_Brutos'!H174</x:f>
        <x:v>1</x:v>
      </x:c>
      <x:c r="J174" s="12" t="n">
        <x:f>'Datos_Brutos'!I174</x:f>
        <x:v>7990</x:v>
      </x:c>
      <x:c r="K174" s="12" t="n">
        <x:f>'Datos_Brutos'!J174</x:f>
        <x:v>2600</x:v>
      </x:c>
      <x:c r="L174" s="14" t="n">
        <x:f>'Datos_Brutos'!K174</x:f>
        <x:v>0</x:v>
      </x:c>
      <x:c r="M174" t="str">
        <x:f>VLOOKUP('Datos_Brutos'!L174,Listas!$G$2:$H$10,2,FALSE)</x:f>
        <x:v>Completado</x:v>
      </x:c>
      <x:c r="N174" s="12" t="n">
        <x:f>I174*J174</x:f>
        <x:v>7990</x:v>
      </x:c>
      <x:c r="O174" s="12" t="n">
        <x:f>IF(M174="Cancelado",0,N174*(1-L174))</x:f>
        <x:v>7990</x:v>
      </x:c>
      <x:c r="P174" s="12" t="n">
        <x:f>IF(M174="Cancelado",0,I174*K174)</x:f>
        <x:v>2600</x:v>
      </x:c>
      <x:c r="Q174" s="12" t="n">
        <x:f>O174-P174</x:f>
        <x:v>5390</x:v>
      </x:c>
      <x:c r="R174" s="26" t="n">
        <x:f>IF(O174=0,0,Q174/O174)</x:f>
        <x:v>0.6745932415519399</x:v>
      </x:c>
    </x:row>
    <x:row r="175">
      <x:c r="A175" t="str">
        <x:f>'Datos_Brutos'!A175</x:f>
        <x:v>V-0174</x:v>
      </x:c>
      <x:c r="B175" s="10" t="n">
        <x:f>'Datos_Brutos'!B175</x:f>
        <x:v>46097</x:v>
      </x:c>
      <x:c r="C175" t="str">
        <x:f>TEXT(B175,"yyyy-mm")</x:f>
        <x:v>2026-03</x:v>
      </x:c>
      <x:c r="D175" t="str">
        <x:f>'Datos_Brutos'!C175</x:f>
        <x:v>Cliente 064</x:v>
      </x:c>
      <x:c r="E175" t="str">
        <x:f>'Datos_Brutos'!D175</x:f>
        <x:v>Organizador</x:v>
      </x:c>
      <x:c r="F175" t="str">
        <x:f>'Datos_Brutos'!E175</x:f>
        <x:v>Hogar</x:v>
      </x:c>
      <x:c r="G175" t="str">
        <x:f>VLOOKUP('Datos_Brutos'!F175,Listas!$A$2:$B$13,2,FALSE)</x:f>
        <x:v>Valparaíso</x:v>
      </x:c>
      <x:c r="H175" t="str">
        <x:f>VLOOKUP('Datos_Brutos'!G175,Listas!$D$2:$E$10,2,FALSE)</x:f>
        <x:v>Web</x:v>
      </x:c>
      <x:c r="I175" t="n">
        <x:f>'Datos_Brutos'!H175</x:f>
        <x:v>2</x:v>
      </x:c>
      <x:c r="J175" s="12" t="n">
        <x:f>'Datos_Brutos'!I175</x:f>
        <x:v>14990</x:v>
      </x:c>
      <x:c r="K175" s="12" t="n">
        <x:f>'Datos_Brutos'!J175</x:f>
        <x:v>7200</x:v>
      </x:c>
      <x:c r="L175" s="14" t="n">
        <x:f>'Datos_Brutos'!K175</x:f>
        <x:v>0</x:v>
      </x:c>
      <x:c r="M175" t="str">
        <x:f>VLOOKUP('Datos_Brutos'!L175,Listas!$G$2:$H$10,2,FALSE)</x:f>
        <x:v>Cancelado</x:v>
      </x:c>
      <x:c r="N175" s="12" t="n">
        <x:f>I175*J175</x:f>
        <x:v>29980</x:v>
      </x:c>
      <x:c r="O175" s="12" t="n">
        <x:f>IF(M175="Cancelado",0,N175*(1-L175))</x:f>
        <x:v>0</x:v>
      </x:c>
      <x:c r="P175" s="12" t="n">
        <x:f>IF(M175="Cancelado",0,I175*K175)</x:f>
        <x:v>0</x:v>
      </x:c>
      <x:c r="Q175" s="12" t="n">
        <x:f>O175-P175</x:f>
        <x:v>0</x:v>
      </x:c>
      <x:c r="R175" s="26" t="n">
        <x:f>IF(O175=0,0,Q175/O175)</x:f>
        <x:v>0</x:v>
      </x:c>
    </x:row>
    <x:row r="176">
      <x:c r="A176" t="str">
        <x:f>'Datos_Brutos'!A176</x:f>
        <x:v>V-0175</x:v>
      </x:c>
      <x:c r="B176" s="10" t="n">
        <x:f>'Datos_Brutos'!B176</x:f>
        <x:v>46029</x:v>
      </x:c>
      <x:c r="C176" t="str">
        <x:f>TEXT(B176,"yyyy-mm")</x:f>
        <x:v>2026-01</x:v>
      </x:c>
      <x:c r="D176" t="str">
        <x:f>'Datos_Brutos'!C176</x:f>
        <x:v>Cliente 051</x:v>
      </x:c>
      <x:c r="E176" t="str">
        <x:f>'Datos_Brutos'!D176</x:f>
        <x:v>Botella térmica</x:v>
      </x:c>
      <x:c r="F176" t="str">
        <x:f>'Datos_Brutos'!E176</x:f>
        <x:v>Hogar</x:v>
      </x:c>
      <x:c r="G176" t="str">
        <x:f>VLOOKUP('Datos_Brutos'!F176,Listas!$A$2:$B$13,2,FALSE)</x:f>
        <x:v>Biobío</x:v>
      </x:c>
      <x:c r="H176" t="str">
        <x:f>VLOOKUP('Datos_Brutos'!G176,Listas!$D$2:$E$10,2,FALSE)</x:f>
        <x:v>Marketplace</x:v>
      </x:c>
      <x:c r="I176" t="n">
        <x:f>'Datos_Brutos'!H176</x:f>
        <x:v>1</x:v>
      </x:c>
      <x:c r="J176" s="12" t="n">
        <x:f>'Datos_Brutos'!I176</x:f>
        <x:v>17990</x:v>
      </x:c>
      <x:c r="K176" s="12" t="n">
        <x:f>'Datos_Brutos'!J176</x:f>
        <x:v>8300</x:v>
      </x:c>
      <x:c r="L176" s="14" t="n">
        <x:f>'Datos_Brutos'!K176</x:f>
        <x:v>0</x:v>
      </x:c>
      <x:c r="M176" t="str">
        <x:f>VLOOKUP('Datos_Brutos'!L176,Listas!$G$2:$H$10,2,FALSE)</x:f>
        <x:v>Completado</x:v>
      </x:c>
      <x:c r="N176" s="12" t="n">
        <x:f>I176*J176</x:f>
        <x:v>17990</x:v>
      </x:c>
      <x:c r="O176" s="12" t="n">
        <x:f>IF(M176="Cancelado",0,N176*(1-L176))</x:f>
        <x:v>17990</x:v>
      </x:c>
      <x:c r="P176" s="12" t="n">
        <x:f>IF(M176="Cancelado",0,I176*K176)</x:f>
        <x:v>8300</x:v>
      </x:c>
      <x:c r="Q176" s="12" t="n">
        <x:f>O176-P176</x:f>
        <x:v>9690</x:v>
      </x:c>
      <x:c r="R176" s="26" t="n">
        <x:f>IF(O176=0,0,Q176/O176)</x:f>
        <x:v>0.5386325736520289</x:v>
      </x:c>
    </x:row>
    <x:row r="177">
      <x:c r="A177" t="str">
        <x:f>'Datos_Brutos'!A177</x:f>
        <x:v>V-0176</x:v>
      </x:c>
      <x:c r="B177" s="10" t="n">
        <x:f>'Datos_Brutos'!B177</x:f>
        <x:v>46206</x:v>
      </x:c>
      <x:c r="C177" t="str">
        <x:f>TEXT(B177,"yyyy-mm")</x:f>
        <x:v>2026-07</x:v>
      </x:c>
      <x:c r="D177" t="str">
        <x:f>'Datos_Brutos'!C177</x:f>
        <x:v>Cliente 058</x:v>
      </x:c>
      <x:c r="E177" t="str">
        <x:f>'Datos_Brutos'!D177</x:f>
        <x:v>Set de lápices</x:v>
      </x:c>
      <x:c r="F177" t="str">
        <x:f>'Datos_Brutos'!E177</x:f>
        <x:v>Papelería</x:v>
      </x:c>
      <x:c r="G177" t="str">
        <x:f>VLOOKUP('Datos_Brutos'!F177,Listas!$A$2:$B$13,2,FALSE)</x:f>
        <x:v>Maule</x:v>
      </x:c>
      <x:c r="H177" t="str">
        <x:f>VLOOKUP('Datos_Brutos'!G177,Listas!$D$2:$E$10,2,FALSE)</x:f>
        <x:v>Marketplace</x:v>
      </x:c>
      <x:c r="I177" t="n">
        <x:f>'Datos_Brutos'!H177</x:f>
        <x:v>1</x:v>
      </x:c>
      <x:c r="J177" s="12" t="n">
        <x:f>'Datos_Brutos'!I177</x:f>
        <x:v>7990</x:v>
      </x:c>
      <x:c r="K177" s="12" t="n">
        <x:f>'Datos_Brutos'!J177</x:f>
        <x:v>2600</x:v>
      </x:c>
      <x:c r="L177" s="14" t="n">
        <x:f>'Datos_Brutos'!K177</x:f>
        <x:v>0.05</x:v>
      </x:c>
      <x:c r="M177" t="str">
        <x:f>VLOOKUP('Datos_Brutos'!L177,Listas!$G$2:$H$10,2,FALSE)</x:f>
        <x:v>Completado</x:v>
      </x:c>
      <x:c r="N177" s="12" t="n">
        <x:f>I177*J177</x:f>
        <x:v>7990</x:v>
      </x:c>
      <x:c r="O177" s="12" t="n">
        <x:f>IF(M177="Cancelado",0,N177*(1-L177))</x:f>
        <x:v>7590.5</x:v>
      </x:c>
      <x:c r="P177" s="12" t="n">
        <x:f>IF(M177="Cancelado",0,I177*K177)</x:f>
        <x:v>2600</x:v>
      </x:c>
      <x:c r="Q177" s="12" t="n">
        <x:f>O177-P177</x:f>
        <x:v>4990.5</x:v>
      </x:c>
      <x:c r="R177" s="26" t="n">
        <x:f>IF(O177=0,0,Q177/O177)</x:f>
        <x:v>0.6574665700546736</x:v>
      </x:c>
    </x:row>
    <x:row r="178">
      <x:c r="A178" t="str">
        <x:f>'Datos_Brutos'!A178</x:f>
        <x:v>V-0177</x:v>
      </x:c>
      <x:c r="B178" s="10" t="n">
        <x:f>'Datos_Brutos'!B178</x:f>
        <x:v>46142</x:v>
      </x:c>
      <x:c r="C178" t="str">
        <x:f>TEXT(B178,"yyyy-mm")</x:f>
        <x:v>2026-04</x:v>
      </x:c>
      <x:c r="D178" t="str">
        <x:f>'Datos_Brutos'!C178</x:f>
        <x:v>Cliente 008</x:v>
      </x:c>
      <x:c r="E178" t="str">
        <x:f>'Datos_Brutos'!D178</x:f>
        <x:v>Planner</x:v>
      </x:c>
      <x:c r="F178" t="str">
        <x:f>'Datos_Brutos'!E178</x:f>
        <x:v>Papelería</x:v>
      </x:c>
      <x:c r="G178" t="str">
        <x:f>VLOOKUP('Datos_Brutos'!F178,Listas!$A$2:$B$13,2,FALSE)</x:f>
        <x:v>Valparaíso</x:v>
      </x:c>
      <x:c r="H178" t="str">
        <x:f>VLOOKUP('Datos_Brutos'!G178,Listas!$D$2:$E$10,2,FALSE)</x:f>
        <x:v>Instagram</x:v>
      </x:c>
      <x:c r="I178" t="n">
        <x:f>'Datos_Brutos'!H178</x:f>
        <x:v>1</x:v>
      </x:c>
      <x:c r="J178" s="12" t="n">
        <x:f>'Datos_Brutos'!I178</x:f>
        <x:v>12990</x:v>
      </x:c>
      <x:c r="K178" s="12" t="n">
        <x:f>'Datos_Brutos'!J178</x:f>
        <x:v>4800</x:v>
      </x:c>
      <x:c r="L178" s="14" t="n">
        <x:f>'Datos_Brutos'!K178</x:f>
        <x:v>0</x:v>
      </x:c>
      <x:c r="M178" t="str">
        <x:f>VLOOKUP('Datos_Brutos'!L178,Listas!$G$2:$H$10,2,FALSE)</x:f>
        <x:v>Completado</x:v>
      </x:c>
      <x:c r="N178" s="12" t="n">
        <x:f>I178*J178</x:f>
        <x:v>12990</x:v>
      </x:c>
      <x:c r="O178" s="12" t="n">
        <x:f>IF(M178="Cancelado",0,N178*(1-L178))</x:f>
        <x:v>12990</x:v>
      </x:c>
      <x:c r="P178" s="12" t="n">
        <x:f>IF(M178="Cancelado",0,I178*K178)</x:f>
        <x:v>4800</x:v>
      </x:c>
      <x:c r="Q178" s="12" t="n">
        <x:f>O178-P178</x:f>
        <x:v>8190</x:v>
      </x:c>
      <x:c r="R178" s="26" t="n">
        <x:f>IF(O178=0,0,Q178/O178)</x:f>
        <x:v>0.6304849884526559</x:v>
      </x:c>
    </x:row>
    <x:row r="179">
      <x:c r="A179" t="str">
        <x:f>'Datos_Brutos'!A179</x:f>
        <x:v>V-0178</x:v>
      </x:c>
      <x:c r="B179" s="10" t="n">
        <x:f>'Datos_Brutos'!B179</x:f>
        <x:v>46235</x:v>
      </x:c>
      <x:c r="C179" t="str">
        <x:f>TEXT(B179,"yyyy-mm")</x:f>
        <x:v>2026-08</x:v>
      </x:c>
      <x:c r="D179" t="str">
        <x:f>'Datos_Brutos'!C179</x:f>
        <x:v>Cliente 011</x:v>
      </x:c>
      <x:c r="E179" t="str">
        <x:f>'Datos_Brutos'!D179</x:f>
        <x:v>Teclado</x:v>
      </x:c>
      <x:c r="F179" t="str">
        <x:f>'Datos_Brutos'!E179</x:f>
        <x:v>Tecnología</x:v>
      </x:c>
      <x:c r="G179" t="str">
        <x:f>VLOOKUP('Datos_Brutos'!F179,Listas!$A$2:$B$13,2,FALSE)</x:f>
        <x:v>Biobío</x:v>
      </x:c>
      <x:c r="H179" t="str">
        <x:f>VLOOKUP('Datos_Brutos'!G179,Listas!$D$2:$E$10,2,FALSE)</x:f>
        <x:v>Web</x:v>
      </x:c>
      <x:c r="I179" t="n">
        <x:f>'Datos_Brutos'!H179</x:f>
        <x:v>1</x:v>
      </x:c>
      <x:c r="J179" s="12" t="n">
        <x:f>'Datos_Brutos'!I179</x:f>
        <x:v>32990</x:v>
      </x:c>
      <x:c r="K179" s="12" t="n">
        <x:f>'Datos_Brutos'!J179</x:f>
        <x:v>18500</x:v>
      </x:c>
      <x:c r="L179" s="14" t="n">
        <x:f>'Datos_Brutos'!K179</x:f>
        <x:v>0.1</x:v>
      </x:c>
      <x:c r="M179" t="str">
        <x:f>VLOOKUP('Datos_Brutos'!L179,Listas!$G$2:$H$10,2,FALSE)</x:f>
        <x:v>Completado</x:v>
      </x:c>
      <x:c r="N179" s="12" t="n">
        <x:f>I179*J179</x:f>
        <x:v>32990</x:v>
      </x:c>
      <x:c r="O179" s="12" t="n">
        <x:f>IF(M179="Cancelado",0,N179*(1-L179))</x:f>
        <x:v>29691</x:v>
      </x:c>
      <x:c r="P179" s="12" t="n">
        <x:f>IF(M179="Cancelado",0,I179*K179)</x:f>
        <x:v>18500</x:v>
      </x:c>
      <x:c r="Q179" s="12" t="n">
        <x:f>O179-P179</x:f>
        <x:v>11191</x:v>
      </x:c>
      <x:c r="R179" s="26" t="n">
        <x:f>IF(O179=0,0,Q179/O179)</x:f>
        <x:v>0.3769155636388131</x:v>
      </x:c>
    </x:row>
    <x:row r="180">
      <x:c r="A180" t="str">
        <x:f>'Datos_Brutos'!A180</x:f>
        <x:v>V-0179</x:v>
      </x:c>
      <x:c r="B180" s="10" t="n">
        <x:f>'Datos_Brutos'!B180</x:f>
        <x:v>46087</x:v>
      </x:c>
      <x:c r="C180" t="str">
        <x:f>TEXT(B180,"yyyy-mm")</x:f>
        <x:v>2026-03</x:v>
      </x:c>
      <x:c r="D180" t="str">
        <x:f>'Datos_Brutos'!C180</x:f>
        <x:v>Cliente 075</x:v>
      </x:c>
      <x:c r="E180" t="str">
        <x:f>'Datos_Brutos'!D180</x:f>
        <x:v>Lámpara</x:v>
      </x:c>
      <x:c r="F180" t="str">
        <x:f>'Datos_Brutos'!E180</x:f>
        <x:v>Hogar</x:v>
      </x:c>
      <x:c r="G180" t="str">
        <x:f>VLOOKUP('Datos_Brutos'!F180,Listas!$A$2:$B$13,2,FALSE)</x:f>
        <x:v>Biobío</x:v>
      </x:c>
      <x:c r="H180" t="str">
        <x:f>VLOOKUP('Datos_Brutos'!G180,Listas!$D$2:$E$10,2,FALSE)</x:f>
        <x:v>Instagram</x:v>
      </x:c>
      <x:c r="I180" t="n">
        <x:f>'Datos_Brutos'!H180</x:f>
        <x:v>2</x:v>
      </x:c>
      <x:c r="J180" s="12" t="n">
        <x:f>'Datos_Brutos'!I180</x:f>
        <x:v>21990</x:v>
      </x:c>
      <x:c r="K180" s="12" t="n">
        <x:f>'Datos_Brutos'!J180</x:f>
        <x:v>11000</x:v>
      </x:c>
      <x:c r="L180" s="14" t="n">
        <x:f>'Datos_Brutos'!K180</x:f>
        <x:v>0.05</x:v>
      </x:c>
      <x:c r="M180" t="str">
        <x:f>VLOOKUP('Datos_Brutos'!L180,Listas!$G$2:$H$10,2,FALSE)</x:f>
        <x:v>Completado</x:v>
      </x:c>
      <x:c r="N180" s="12" t="n">
        <x:f>I180*J180</x:f>
        <x:v>43980</x:v>
      </x:c>
      <x:c r="O180" s="12" t="n">
        <x:f>IF(M180="Cancelado",0,N180*(1-L180))</x:f>
        <x:v>41781</x:v>
      </x:c>
      <x:c r="P180" s="12" t="n">
        <x:f>IF(M180="Cancelado",0,I180*K180)</x:f>
        <x:v>22000</x:v>
      </x:c>
      <x:c r="Q180" s="12" t="n">
        <x:f>O180-P180</x:f>
        <x:v>19781</x:v>
      </x:c>
      <x:c r="R180" s="26" t="n">
        <x:f>IF(O180=0,0,Q180/O180)</x:f>
        <x:v>0.47344486728417223</x:v>
      </x:c>
    </x:row>
    <x:row r="181">
      <x:c r="A181" t="str">
        <x:f>'Datos_Brutos'!A181</x:f>
        <x:v>V-0180</x:v>
      </x:c>
      <x:c r="B181" s="10" t="n">
        <x:f>'Datos_Brutos'!B181</x:f>
        <x:v>46062</x:v>
      </x:c>
      <x:c r="C181" t="str">
        <x:f>TEXT(B181,"yyyy-mm")</x:f>
        <x:v>2026-02</x:v>
      </x:c>
      <x:c r="D181" t="str">
        <x:f>'Datos_Brutos'!C181</x:f>
        <x:v>Cliente 034</x:v>
      </x:c>
      <x:c r="E181" t="str">
        <x:f>'Datos_Brutos'!D181</x:f>
        <x:v>Mouse</x:v>
      </x:c>
      <x:c r="F181" t="str">
        <x:f>'Datos_Brutos'!E181</x:f>
        <x:v>Tecnología</x:v>
      </x:c>
      <x:c r="G181" t="str">
        <x:f>VLOOKUP('Datos_Brutos'!F181,Listas!$A$2:$B$13,2,FALSE)</x:f>
        <x:v>Biobío</x:v>
      </x:c>
      <x:c r="H181" t="str">
        <x:f>VLOOKUP('Datos_Brutos'!G181,Listas!$D$2:$E$10,2,FALSE)</x:f>
        <x:v>Web</x:v>
      </x:c>
      <x:c r="I181" t="n">
        <x:f>'Datos_Brutos'!H181</x:f>
        <x:v>2</x:v>
      </x:c>
      <x:c r="J181" s="12" t="n">
        <x:f>'Datos_Brutos'!I181</x:f>
        <x:v>18990</x:v>
      </x:c>
      <x:c r="K181" s="12" t="n">
        <x:f>'Datos_Brutos'!J181</x:f>
        <x:v>9800</x:v>
      </x:c>
      <x:c r="L181" s="14" t="n">
        <x:f>'Datos_Brutos'!K181</x:f>
        <x:v>0.05</x:v>
      </x:c>
      <x:c r="M181" t="str">
        <x:f>VLOOKUP('Datos_Brutos'!L181,Listas!$G$2:$H$10,2,FALSE)</x:f>
        <x:v>Completado</x:v>
      </x:c>
      <x:c r="N181" s="12" t="n">
        <x:f>I181*J181</x:f>
        <x:v>37980</x:v>
      </x:c>
      <x:c r="O181" s="12" t="n">
        <x:f>IF(M181="Cancelado",0,N181*(1-L181))</x:f>
        <x:v>36081</x:v>
      </x:c>
      <x:c r="P181" s="12" t="n">
        <x:f>IF(M181="Cancelado",0,I181*K181)</x:f>
        <x:v>19600</x:v>
      </x:c>
      <x:c r="Q181" s="12" t="n">
        <x:f>O181-P181</x:f>
        <x:v>16481</x:v>
      </x:c>
      <x:c r="R181" s="26" t="n">
        <x:f>IF(O181=0,0,Q181/O181)</x:f>
        <x:v>0.45677780549319585</x:v>
      </x:c>
    </x:row>
  </x:sheetData>
  <x:conditionalFormatting sqref="R2:R18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181">
    <x:cfRule type="dataBar" priority="2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{8FF927D3-9612-2FE6-25C7-C4AF392D5350}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0020f99153f4e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8FF927D3-9612-2FE6-25C7-C4AF392D5350}">
            <x14:dataBar gradient="1">
              <x14:cfvo type="min"/>
              <x14:cfvo type="max"/>
              <x14:fillColor rgb="FF4F46E5"/>
            </x14:dataBar>
          </x14:cfRule>
          <xm:sqref>Q2:Q181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" hidden="0" customWidth="1"/>
    <x:col min="3" max="3" width="9.130000114440918" hidden="0" customWidth="1"/>
    <x:col min="4" max="4" width="19.5" hidden="0" customWidth="1"/>
    <x:col min="5" max="5" width="15.380000114440918" hidden="0" customWidth="1"/>
    <x:col min="6" max="6" width="10.25" hidden="0" customWidth="1"/>
    <x:col min="7" max="7" width="10.75" hidden="0" customWidth="1"/>
    <x:col min="8" max="8" width="10" hidden="0" customWidth="1"/>
    <x:col min="10" max="10" width="11.25" hidden="0" customWidth="1"/>
    <x:col min="11" max="11" width="13" hidden="0" customWidth="1"/>
    <x:col min="12" max="12" width="9.130000114440918" hidden="0" customWidth="1"/>
    <x:col min="13" max="13" width="10.25" hidden="0" customWidth="1"/>
    <x:col min="14" max="14" width="15.380000114440918" hidden="0" customWidth="1"/>
    <x:col min="16" max="16" width="9.880000114440918" hidden="0" customWidth="1"/>
    <x:col min="17" max="17" width="13" hidden="0" customWidth="1"/>
    <x:col min="18" max="18" width="9.130000114440918" hidden="0" customWidth="1"/>
    <x:col min="19" max="19" width="9" hidden="0" customWidth="1"/>
    <x:col min="20" max="20" width="10.75" hidden="0" customWidth="1"/>
  </x:cols>
  <x:sheetData>
    <x:row r="1">
      <x:c r="A1" s="5" t="str">
        <x:v>Mes</x:v>
      </x:c>
      <x:c r="B1" s="5" t="str">
        <x:v>Ventas Netas</x:v>
      </x:c>
      <x:c r="C1" s="5" t="str">
        <x:v>Utilidad</x:v>
      </x:c>
      <x:c r="D1" s="5" t="str">
        <x:v>Pedidos Completados</x:v>
      </x:c>
      <x:c r="E1" s="5" t="str">
        <x:v>Ticket Promedio</x:v>
      </x:c>
      <x:c r="F1" s="5" t="str">
        <x:v>Unidades</x:v>
      </x:c>
      <x:c r="G1" s="5" t="str">
        <x:v>Margen %</x:v>
      </x:c>
      <x:c r="H1" s="5" t="str">
        <x:v>% Ventas</x:v>
      </x:c>
      <x:c r="J1" s="5" t="str">
        <x:v>Categoría</x:v>
      </x:c>
      <x:c r="K1" s="5" t="str">
        <x:v>Ventas Netas</x:v>
      </x:c>
      <x:c r="L1" s="5" t="str">
        <x:v>Utilidad</x:v>
      </x:c>
      <x:c r="M1" s="5" t="str">
        <x:v>Unidades</x:v>
      </x:c>
      <x:c r="N1" s="5" t="str">
        <x:v>Margen %</x:v>
      </x:c>
      <x:c r="P1" s="5" t="str">
        <x:v>Canal</x:v>
      </x:c>
      <x:c r="Q1" s="5" t="str">
        <x:v>Ventas Netas</x:v>
      </x:c>
      <x:c r="R1" s="5" t="str">
        <x:v>Utilidad</x:v>
      </x:c>
      <x:c r="S1" s="5" t="str">
        <x:v>Pedidos</x:v>
      </x:c>
      <x:c r="T1" s="5" t="str">
        <x:v>Margen %</x:v>
      </x:c>
    </x:row>
    <x:row r="2">
      <x:c r="A2" t="str">
        <x:v>2026-01</x:v>
      </x:c>
      <x:c r="B2" s="12" t="n">
        <x:f>SUMIFS(Datos_Limpios!$O$2:$O$181,Datos_Limpios!$C$2:$C$181,$A2,Datos_Limpios!$M$2:$M$181,"Completado")</x:f>
        <x:v>352655</x:v>
      </x:c>
      <x:c r="C2" s="12" t="n">
        <x:f>SUMIFS(Datos_Limpios!$Q$2:$Q$181,Datos_Limpios!$C$2:$C$181,$A2,Datos_Limpios!$M$2:$M$181,"Completado")</x:f>
        <x:v>180555</x:v>
      </x:c>
      <x:c r="D2" t="n">
        <x:f>COUNTIFS(Datos_Limpios!$C$2:$C$181,$A2,Datos_Limpios!$M$2:$M$181,"Completado")</x:f>
        <x:v>11</x:v>
      </x:c>
      <x:c r="E2" s="12" t="n">
        <x:f>IF(D2=0,0,B2/D2)</x:f>
        <x:v>32059.545454545456</x:v>
      </x:c>
      <x:c r="F2" t="n">
        <x:f>SUMIFS(Datos_Limpios!$I$2:$I$181,Datos_Limpios!$C$2:$C$181,$A2,Datos_Limpios!$M$2:$M$181,"Completado")</x:f>
        <x:v>20</x:v>
      </x:c>
      <x:c r="G2" s="26" t="n">
        <x:f>IF(B2=0,0,C2/B2)</x:f>
        <x:v>0.5119876366420439</x:v>
      </x:c>
      <x:c r="H2" s="26" t="n">
        <x:f>IF(SUM($B$2:$B$9)=0,0,B2/SUM($B$2:$B$9))</x:f>
        <x:v>0.07656786299225746</x:v>
      </x:c>
      <x:c r="J2" t="str">
        <x:v>Tecnología</x:v>
      </x:c>
      <x:c r="K2" s="12" t="n">
        <x:f>SUMIFS(Datos_Limpios!$O$2:$O$181,Datos_Limpios!$F$2:$F$181,$J2,Datos_Limpios!$M$2:$M$181,"Completado")</x:f>
        <x:v>1300506</x:v>
      </x:c>
      <x:c r="L2" s="12" t="n">
        <x:f>SUMIFS(Datos_Limpios!$Q$2:$Q$181,Datos_Limpios!$F$2:$F$181,$J2,Datos_Limpios!$M$2:$M$181,"Completado")</x:f>
        <x:v>543106</x:v>
      </x:c>
      <x:c r="M2" t="n">
        <x:f>SUMIFS(Datos_Limpios!$I$2:$I$181,Datos_Limpios!$F$2:$F$181,$J2,Datos_Limpios!$M$2:$M$181,"Completado")</x:f>
        <x:v>52</x:v>
      </x:c>
      <x:c r="N2" s="26" t="n">
        <x:f>IF(K2=0,0,L2/K2)</x:f>
        <x:v>0.4176112989867021</x:v>
      </x:c>
      <x:c r="P2" t="str">
        <x:v>Web</x:v>
      </x:c>
      <x:c r="Q2" s="12" t="n">
        <x:f>SUMIFS(Datos_Limpios!$O$2:$O$181,Datos_Limpios!$H$2:$H$181,$P2,Datos_Limpios!$M$2:$M$181,"Completado")</x:f>
        <x:v>2730739</x:v>
      </x:c>
      <x:c r="R2" s="12" t="n">
        <x:f>SUMIFS(Datos_Limpios!$Q$2:$Q$181,Datos_Limpios!$H$2:$H$181,$P2,Datos_Limpios!$M$2:$M$181,"Completado")</x:f>
        <x:v>1380439</x:v>
      </x:c>
      <x:c r="S2" t="n">
        <x:f>COUNTIFS(Datos_Limpios!$H$2:$H$181,$P2,Datos_Limpios!$M$2:$M$181,"Completado")</x:f>
        <x:v>84</x:v>
      </x:c>
      <x:c r="T2" s="26" t="n">
        <x:f>IF(Q2=0,0,R2/Q2)</x:f>
        <x:v>0.5055184695424938</x:v>
      </x:c>
    </x:row>
    <x:row r="3">
      <x:c r="A3" t="str">
        <x:v>2026-02</x:v>
      </x:c>
      <x:c r="B3" s="12" t="n">
        <x:f>SUMIFS(Datos_Limpios!$O$2:$O$181,Datos_Limpios!$C$2:$C$181,$A3,Datos_Limpios!$M$2:$M$181,"Completado")</x:f>
        <x:v>443417</x:v>
      </x:c>
      <x:c r="C3" s="12" t="n">
        <x:f>SUMIFS(Datos_Limpios!$Q$2:$Q$181,Datos_Limpios!$C$2:$C$181,$A3,Datos_Limpios!$M$2:$M$181,"Completado")</x:f>
        <x:v>225717</x:v>
      </x:c>
      <x:c r="D3" t="n">
        <x:f>COUNTIFS(Datos_Limpios!$C$2:$C$181,$A3,Datos_Limpios!$M$2:$M$181,"Completado")</x:f>
        <x:v>19</x:v>
      </x:c>
      <x:c r="E3" s="12" t="n">
        <x:f>IF(D3=0,0,B3/D3)</x:f>
        <x:v>23337.736842105263</x:v>
      </x:c>
      <x:c r="F3" t="n">
        <x:f>SUMIFS(Datos_Limpios!$I$2:$I$181,Datos_Limpios!$C$2:$C$181,$A3,Datos_Limpios!$M$2:$M$181,"Completado")</x:f>
        <x:v>24</x:v>
      </x:c>
      <x:c r="G3" s="26" t="n">
        <x:f>IF(B3=0,0,C3/B3)</x:f>
        <x:v>0.5090400232738033</x:v>
      </x:c>
      <x:c r="H3" s="26" t="n">
        <x:f>IF(SUM($B$2:$B$9)=0,0,B3/SUM($B$2:$B$9))</x:f>
        <x:v>0.09627395642891161</x:v>
      </x:c>
      <x:c r="J3" t="str">
        <x:v>Hogar</x:v>
      </x:c>
      <x:c r="K3" s="12" t="n">
        <x:f>SUMIFS(Datos_Limpios!$O$2:$O$181,Datos_Limpios!$F$2:$F$181,$J3,Datos_Limpios!$M$2:$M$181,"Completado")</x:f>
        <x:v>1050486</x:v>
      </x:c>
      <x:c r="L3" s="12" t="n">
        <x:f>SUMIFS(Datos_Limpios!$Q$2:$Q$181,Datos_Limpios!$F$2:$F$181,$J3,Datos_Limpios!$M$2:$M$181,"Completado")</x:f>
        <x:v>514786</x:v>
      </x:c>
      <x:c r="M3" t="n">
        <x:f>SUMIFS(Datos_Limpios!$I$2:$I$181,Datos_Limpios!$F$2:$F$181,$J3,Datos_Limpios!$M$2:$M$181,"Completado")</x:f>
        <x:v>59</x:v>
      </x:c>
      <x:c r="N3" s="26" t="n">
        <x:f>IF(K3=0,0,L3/K3)</x:f>
        <x:v>0.4900455598646722</x:v>
      </x:c>
      <x:c r="P3" t="str">
        <x:v>Instagram</x:v>
      </x:c>
      <x:c r="Q3" s="12" t="n">
        <x:f>SUMIFS(Datos_Limpios!$O$2:$O$181,Datos_Limpios!$H$2:$H$181,$P3,Datos_Limpios!$M$2:$M$181,"Completado")</x:f>
        <x:v>1143005</x:v>
      </x:c>
      <x:c r="R3" s="12" t="n">
        <x:f>SUMIFS(Datos_Limpios!$Q$2:$Q$181,Datos_Limpios!$H$2:$H$181,$P3,Datos_Limpios!$M$2:$M$181,"Completado")</x:f>
        <x:v>585505</x:v>
      </x:c>
      <x:c r="S3" t="n">
        <x:f>COUNTIFS(Datos_Limpios!$H$2:$H$181,$P3,Datos_Limpios!$M$2:$M$181,"Completado")</x:f>
        <x:v>39</x:v>
      </x:c>
      <x:c r="T3" s="26" t="n">
        <x:f>IF(Q3=0,0,R3/Q3)</x:f>
        <x:v>0.5122506025782915</x:v>
      </x:c>
    </x:row>
    <x:row r="4">
      <x:c r="A4" t="str">
        <x:v>2026-03</x:v>
      </x:c>
      <x:c r="B4" s="12" t="n">
        <x:f>SUMIFS(Datos_Limpios!$O$2:$O$181,Datos_Limpios!$C$2:$C$181,$A4,Datos_Limpios!$M$2:$M$181,"Completado")</x:f>
        <x:v>772773.5</x:v>
      </x:c>
      <x:c r="C4" s="12" t="n">
        <x:f>SUMIFS(Datos_Limpios!$Q$2:$Q$181,Datos_Limpios!$C$2:$C$181,$A4,Datos_Limpios!$M$2:$M$181,"Completado")</x:f>
        <x:v>379873.5</x:v>
      </x:c>
      <x:c r="D4" t="n">
        <x:f>COUNTIFS(Datos_Limpios!$C$2:$C$181,$A4,Datos_Limpios!$M$2:$M$181,"Completado")</x:f>
        <x:v>19</x:v>
      </x:c>
      <x:c r="E4" s="12" t="n">
        <x:f>IF(D4=0,0,B4/D4)</x:f>
        <x:v>40672.28947368421</x:v>
      </x:c>
      <x:c r="F4" t="n">
        <x:f>SUMIFS(Datos_Limpios!$I$2:$I$181,Datos_Limpios!$C$2:$C$181,$A4,Datos_Limpios!$M$2:$M$181,"Completado")</x:f>
        <x:v>39</x:v>
      </x:c>
      <x:c r="G4" s="26" t="n">
        <x:f>IF(B4=0,0,C4/B4)</x:f>
        <x:v>0.4915715924523809</x:v>
      </x:c>
      <x:c r="H4" s="26" t="n">
        <x:f>IF(SUM($B$2:$B$9)=0,0,B4/SUM($B$2:$B$9))</x:f>
        <x:v>0.16778328812025142</x:v>
      </x:c>
      <x:c r="J4" t="str">
        <x:v>Moda</x:v>
      </x:c>
      <x:c r="K4" s="12" t="n">
        <x:f>SUMIFS(Datos_Limpios!$O$2:$O$181,Datos_Limpios!$F$2:$F$181,$J4,Datos_Limpios!$M$2:$M$181,"Completado")</x:f>
        <x:v>1326227.5</x:v>
      </x:c>
      <x:c r="L4" s="12" t="n">
        <x:f>SUMIFS(Datos_Limpios!$Q$2:$Q$181,Datos_Limpios!$F$2:$F$181,$J4,Datos_Limpios!$M$2:$M$181,"Completado")</x:f>
        <x:v>716527.5</x:v>
      </x:c>
      <x:c r="M4" t="n">
        <x:f>SUMIFS(Datos_Limpios!$I$2:$I$181,Datos_Limpios!$F$2:$F$181,$J4,Datos_Limpios!$M$2:$M$181,"Completado")</x:f>
        <x:v>54</x:v>
      </x:c>
      <x:c r="N4" s="26" t="n">
        <x:f>IF(K4=0,0,L4/K4)</x:f>
        <x:v>0.5402749528267209</x:v>
      </x:c>
      <x:c r="P4" t="str">
        <x:v>Marketplace</x:v>
      </x:c>
      <x:c r="Q4" s="12" t="n">
        <x:f>SUMIFS(Datos_Limpios!$O$2:$O$181,Datos_Limpios!$H$2:$H$181,$P4,Datos_Limpios!$M$2:$M$181,"Completado")</x:f>
        <x:v>732039.5</x:v>
      </x:c>
      <x:c r="R4" s="12" t="n">
        <x:f>SUMIFS(Datos_Limpios!$Q$2:$Q$181,Datos_Limpios!$H$2:$H$181,$P4,Datos_Limpios!$M$2:$M$181,"Completado")</x:f>
        <x:v>386239.5</x:v>
      </x:c>
      <x:c r="S4" t="n">
        <x:f>COUNTIFS(Datos_Limpios!$H$2:$H$181,$P4,Datos_Limpios!$M$2:$M$181,"Completado")</x:f>
        <x:v>24</x:v>
      </x:c>
      <x:c r="T4" s="26" t="n">
        <x:f>IF(Q4=0,0,R4/Q4)</x:f>
        <x:v>0.5276211188057475</x:v>
      </x:c>
    </x:row>
    <x:row r="5">
      <x:c r="A5" t="str">
        <x:v>2026-04</x:v>
      </x:c>
      <x:c r="B5" s="12" t="n">
        <x:f>SUMIFS(Datos_Limpios!$O$2:$O$181,Datos_Limpios!$C$2:$C$181,$A5,Datos_Limpios!$M$2:$M$181,"Completado")</x:f>
        <x:v>535452.5</x:v>
      </x:c>
      <x:c r="C5" s="12" t="n">
        <x:f>SUMIFS(Datos_Limpios!$Q$2:$Q$181,Datos_Limpios!$C$2:$C$181,$A5,Datos_Limpios!$M$2:$M$181,"Completado")</x:f>
        <x:v>276152.5</x:v>
      </x:c>
      <x:c r="D5" t="n">
        <x:f>COUNTIFS(Datos_Limpios!$C$2:$C$181,$A5,Datos_Limpios!$M$2:$M$181,"Completado")</x:f>
        <x:v>15</x:v>
      </x:c>
      <x:c r="E5" s="12" t="n">
        <x:f>IF(D5=0,0,B5/D5)</x:f>
        <x:v>35696.833333333336</x:v>
      </x:c>
      <x:c r="F5" t="n">
        <x:f>SUMIFS(Datos_Limpios!$I$2:$I$181,Datos_Limpios!$C$2:$C$181,$A5,Datos_Limpios!$M$2:$M$181,"Completado")</x:f>
        <x:v>31</x:v>
      </x:c>
      <x:c r="G5" s="26" t="n">
        <x:f>IF(B5=0,0,C5/B5)</x:f>
        <x:v>0.5157366899958447</x:v>
      </x:c>
      <x:c r="H5" s="26" t="n">
        <x:f>IF(SUM($B$2:$B$9)=0,0,B5/SUM($B$2:$B$9))</x:f>
        <x:v>0.11625655005277603</x:v>
      </x:c>
      <x:c r="J5" t="str">
        <x:v>Papelería</x:v>
      </x:c>
      <x:c r="K5" s="12" t="n">
        <x:f>SUMIFS(Datos_Limpios!$O$2:$O$181,Datos_Limpios!$F$2:$F$181,$J5,Datos_Limpios!$M$2:$M$181,"Completado")</x:f>
        <x:v>928564</x:v>
      </x:c>
      <x:c r="L5" s="12" t="n">
        <x:f>SUMIFS(Datos_Limpios!$Q$2:$Q$181,Datos_Limpios!$F$2:$F$181,$J5,Datos_Limpios!$M$2:$M$181,"Completado")</x:f>
        <x:v>577764</x:v>
      </x:c>
      <x:c r="M5" t="n">
        <x:f>SUMIFS(Datos_Limpios!$I$2:$I$181,Datos_Limpios!$F$2:$F$181,$J5,Datos_Limpios!$M$2:$M$181,"Completado")</x:f>
        <x:v>86</x:v>
      </x:c>
      <x:c r="N5" s="26" t="n">
        <x:f>IF(K5=0,0,L5/K5)</x:f>
        <x:v>0.6222123623142831</x:v>
      </x:c>
    </x:row>
    <x:row r="6">
      <x:c r="A6" t="str">
        <x:v>2026-05</x:v>
      </x:c>
      <x:c r="B6" s="12" t="n">
        <x:f>SUMIFS(Datos_Limpios!$O$2:$O$181,Datos_Limpios!$C$2:$C$181,$A6,Datos_Limpios!$M$2:$M$181,"Completado")</x:f>
        <x:v>678241.5</x:v>
      </x:c>
      <x:c r="C6" s="12" t="n">
        <x:f>SUMIFS(Datos_Limpios!$Q$2:$Q$181,Datos_Limpios!$C$2:$C$181,$A6,Datos_Limpios!$M$2:$M$181,"Completado")</x:f>
        <x:v>360041.5</x:v>
      </x:c>
      <x:c r="D6" t="n">
        <x:f>COUNTIFS(Datos_Limpios!$C$2:$C$181,$A6,Datos_Limpios!$M$2:$M$181,"Completado")</x:f>
        <x:v>25</x:v>
      </x:c>
      <x:c r="E6" s="12" t="n">
        <x:f>IF(D6=0,0,B6/D6)</x:f>
        <x:v>27129.66</x:v>
      </x:c>
      <x:c r="F6" t="n">
        <x:f>SUMIFS(Datos_Limpios!$I$2:$I$181,Datos_Limpios!$C$2:$C$181,$A6,Datos_Limpios!$M$2:$M$181,"Completado")</x:f>
        <x:v>37</x:v>
      </x:c>
      <x:c r="G6" s="26" t="n">
        <x:f>IF(B6=0,0,C6/B6)</x:f>
        <x:v>0.5308455763913001</x:v>
      </x:c>
      <x:c r="H6" s="26" t="n">
        <x:f>IF(SUM($B$2:$B$9)=0,0,B6/SUM($B$2:$B$9))</x:f>
        <x:v>0.14725865859739173</x:v>
      </x:c>
    </x:row>
    <x:row r="7">
      <x:c r="A7" t="str">
        <x:v>2026-06</x:v>
      </x:c>
      <x:c r="B7" s="12" t="n">
        <x:f>SUMIFS(Datos_Limpios!$O$2:$O$181,Datos_Limpios!$C$2:$C$181,$A7,Datos_Limpios!$M$2:$M$181,"Completado")</x:f>
        <x:v>627417</x:v>
      </x:c>
      <x:c r="C7" s="12" t="n">
        <x:f>SUMIFS(Datos_Limpios!$Q$2:$Q$181,Datos_Limpios!$C$2:$C$181,$A7,Datos_Limpios!$M$2:$M$181,"Completado")</x:f>
        <x:v>319517</x:v>
      </x:c>
      <x:c r="D7" t="n">
        <x:f>COUNTIFS(Datos_Limpios!$C$2:$C$181,$A7,Datos_Limpios!$M$2:$M$181,"Completado")</x:f>
        <x:v>18</x:v>
      </x:c>
      <x:c r="E7" s="12" t="n">
        <x:f>IF(D7=0,0,B7/D7)</x:f>
        <x:v>34856.5</x:v>
      </x:c>
      <x:c r="F7" t="n">
        <x:f>SUMIFS(Datos_Limpios!$I$2:$I$181,Datos_Limpios!$C$2:$C$181,$A7,Datos_Limpios!$M$2:$M$181,"Completado")</x:f>
        <x:v>35</x:v>
      </x:c>
      <x:c r="G7" s="26" t="n">
        <x:f>IF(B7=0,0,C7/B7)</x:f>
        <x:v>0.5092577982426361</x:v>
      </x:c>
      <x:c r="H7" s="26" t="n">
        <x:f>IF(SUM($B$2:$B$9)=0,0,B7/SUM($B$2:$B$9))</x:f>
        <x:v>0.13622372827554746</x:v>
      </x:c>
    </x:row>
    <x:row r="8">
      <x:c r="A8" t="str">
        <x:v>2026-07</x:v>
      </x:c>
      <x:c r="B8" s="12" t="n">
        <x:f>SUMIFS(Datos_Limpios!$O$2:$O$181,Datos_Limpios!$C$2:$C$181,$A8,Datos_Limpios!$M$2:$M$181,"Completado")</x:f>
        <x:v>587873.5</x:v>
      </x:c>
      <x:c r="C8" s="12" t="n">
        <x:f>SUMIFS(Datos_Limpios!$Q$2:$Q$181,Datos_Limpios!$C$2:$C$181,$A8,Datos_Limpios!$M$2:$M$181,"Completado")</x:f>
        <x:v>307173.5</x:v>
      </x:c>
      <x:c r="D8" t="n">
        <x:f>COUNTIFS(Datos_Limpios!$C$2:$C$181,$A8,Datos_Limpios!$M$2:$M$181,"Completado")</x:f>
        <x:v>23</x:v>
      </x:c>
      <x:c r="E8" s="12" t="n">
        <x:f>IF(D8=0,0,B8/D8)</x:f>
        <x:v>25559.717391304348</x:v>
      </x:c>
      <x:c r="F8" t="n">
        <x:f>SUMIFS(Datos_Limpios!$I$2:$I$181,Datos_Limpios!$C$2:$C$181,$A8,Datos_Limpios!$M$2:$M$181,"Completado")</x:f>
        <x:v>34</x:v>
      </x:c>
      <x:c r="G8" s="26" t="n">
        <x:f>IF(B8=0,0,C8/B8)</x:f>
        <x:v>0.5225163236648701</x:v>
      </x:c>
      <x:c r="H8" s="26" t="n">
        <x:f>IF(SUM($B$2:$B$9)=0,0,B8/SUM($B$2:$B$9))</x:f>
        <x:v>0.12763810978088744</x:v>
      </x:c>
      <x:c r="J8" s="5" t="str">
        <x:v>Región</x:v>
      </x:c>
      <x:c r="K8" s="5" t="str">
        <x:v>Ventas Netas</x:v>
      </x:c>
      <x:c r="L8" s="5" t="str">
        <x:v>Utilidad</x:v>
      </x:c>
      <x:c r="M8" s="5" t="str">
        <x:v>Pedidos</x:v>
      </x:c>
      <x:c r="N8" s="5" t="str">
        <x:v>Ticket Promedio</x:v>
      </x:c>
    </x:row>
    <x:row r="9">
      <x:c r="A9" t="str">
        <x:v>2026-08</x:v>
      </x:c>
      <x:c r="B9" s="12" t="n">
        <x:f>SUMIFS(Datos_Limpios!$O$2:$O$181,Datos_Limpios!$C$2:$C$181,$A9,Datos_Limpios!$M$2:$M$181,"Completado")</x:f>
        <x:v>607953.5</x:v>
      </x:c>
      <x:c r="C9" s="12" t="n">
        <x:f>SUMIFS(Datos_Limpios!$Q$2:$Q$181,Datos_Limpios!$C$2:$C$181,$A9,Datos_Limpios!$M$2:$M$181,"Completado")</x:f>
        <x:v>303153.5</x:v>
      </x:c>
      <x:c r="D9" t="n">
        <x:f>COUNTIFS(Datos_Limpios!$C$2:$C$181,$A9,Datos_Limpios!$M$2:$M$181,"Completado")</x:f>
        <x:v>17</x:v>
      </x:c>
      <x:c r="E9" s="12" t="n">
        <x:f>IF(D9=0,0,B9/D9)</x:f>
        <x:v>35761.970588235294</x:v>
      </x:c>
      <x:c r="F9" t="n">
        <x:f>SUMIFS(Datos_Limpios!$I$2:$I$181,Datos_Limpios!$C$2:$C$181,$A9,Datos_Limpios!$M$2:$M$181,"Completado")</x:f>
        <x:v>31</x:v>
      </x:c>
      <x:c r="G9" s="26" t="n">
        <x:f>IF(B9=0,0,C9/B9)</x:f>
        <x:v>0.4986458668302757</x:v>
      </x:c>
      <x:c r="H9" s="26" t="n">
        <x:f>IF(SUM($B$2:$B$9)=0,0,B9/SUM($B$2:$B$9))</x:f>
        <x:v>0.13199784575197684</x:v>
      </x:c>
      <x:c r="J9" t="str">
        <x:v>Metropolitana</x:v>
      </x:c>
      <x:c r="K9" s="12" t="n">
        <x:f>SUMIFS(Datos_Limpios!$O$2:$O$181,Datos_Limpios!$G$2:$G$181,$J9,Datos_Limpios!$M$2:$M$181,"Completado")</x:f>
        <x:v>1214891.5</x:v>
      </x:c>
      <x:c r="L9" s="12" t="n">
        <x:f>SUMIFS(Datos_Limpios!$Q$2:$Q$181,Datos_Limpios!$G$2:$G$181,$J9,Datos_Limpios!$M$2:$M$181,"Completado")</x:f>
        <x:v>642391.5</x:v>
      </x:c>
      <x:c r="M9" t="n">
        <x:f>COUNTIFS(Datos_Limpios!$G$2:$G$181,$J9,Datos_Limpios!$M$2:$M$181,"Completado")</x:f>
        <x:v>38</x:v>
      </x:c>
      <x:c r="N9" s="12" t="n">
        <x:f>IF(M9=0,0,K9/M9)</x:f>
        <x:v>31970.82894736842</x:v>
      </x:c>
    </x:row>
    <x:row r="10">
      <x:c r="J10" t="str">
        <x:v>Valparaíso</x:v>
      </x:c>
      <x:c r="K10" s="12" t="n">
        <x:f>SUMIFS(Datos_Limpios!$O$2:$O$181,Datos_Limpios!$G$2:$G$181,$J10,Datos_Limpios!$M$2:$M$181,"Completado")</x:f>
        <x:v>1337140</x:v>
      </x:c>
      <x:c r="L10" s="12" t="n">
        <x:f>SUMIFS(Datos_Limpios!$Q$2:$Q$181,Datos_Limpios!$G$2:$G$181,$J10,Datos_Limpios!$M$2:$M$181,"Completado")</x:f>
        <x:v>651140</x:v>
      </x:c>
      <x:c r="M10" t="n">
        <x:f>COUNTIFS(Datos_Limpios!$G$2:$G$181,$J10,Datos_Limpios!$M$2:$M$181,"Completado")</x:f>
        <x:v>35</x:v>
      </x:c>
      <x:c r="N10" s="12" t="n">
        <x:f>IF(M10=0,0,K10/M10)</x:f>
        <x:v>38204</x:v>
      </x:c>
    </x:row>
    <x:row r="11">
      <x:c r="J11" t="str">
        <x:v>Biobío</x:v>
      </x:c>
      <x:c r="K11" s="12" t="n">
        <x:f>SUMIFS(Datos_Limpios!$O$2:$O$181,Datos_Limpios!$G$2:$G$181,$J11,Datos_Limpios!$M$2:$M$181,"Completado")</x:f>
        <x:v>1139854.5</x:v>
      </x:c>
      <x:c r="L11" s="12" t="n">
        <x:f>SUMIFS(Datos_Limpios!$Q$2:$Q$181,Datos_Limpios!$G$2:$G$181,$J11,Datos_Limpios!$M$2:$M$181,"Completado")</x:f>
        <x:v>578854.5</x:v>
      </x:c>
      <x:c r="M11" t="n">
        <x:f>COUNTIFS(Datos_Limpios!$G$2:$G$181,$J11,Datos_Limpios!$M$2:$M$181,"Completado")</x:f>
        <x:v>39</x:v>
      </x:c>
      <x:c r="N11" s="12" t="n">
        <x:f>IF(M11=0,0,K11/M11)</x:f>
        <x:v>29227.03846153846</x:v>
      </x:c>
    </x:row>
    <x:row r="12">
      <x:c r="J12" t="str">
        <x:v>Maule</x:v>
      </x:c>
      <x:c r="K12" s="12" t="n">
        <x:f>SUMIFS(Datos_Limpios!$O$2:$O$181,Datos_Limpios!$G$2:$G$181,$J12,Datos_Limpios!$M$2:$M$181,"Completado")</x:f>
        <x:v>913897.5</x:v>
      </x:c>
      <x:c r="L12" s="12" t="n">
        <x:f>SUMIFS(Datos_Limpios!$Q$2:$Q$181,Datos_Limpios!$G$2:$G$181,$J12,Datos_Limpios!$M$2:$M$181,"Completado")</x:f>
        <x:v>479797.5</x:v>
      </x:c>
      <x:c r="M12" t="n">
        <x:f>COUNTIFS(Datos_Limpios!$G$2:$G$181,$J12,Datos_Limpios!$M$2:$M$181,"Completado")</x:f>
        <x:v>35</x:v>
      </x:c>
      <x:c r="N12" s="12" t="n">
        <x:f>IF(M12=0,0,K12/M12)</x:f>
        <x:v>26111.35714285714</x:v>
      </x:c>
    </x:row>
  </x:sheetData>
  <x:conditionalFormatting sqref="B2:B9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{F83E95B5-610C-8F42-1367-5D4534EA93C3}</x14:id>
        </x:ext>
      </x:extLst>
    </x:cfRule>
  </x:conditionalFormatting>
  <x:conditionalFormatting sqref="C2:C9">
    <x:cfRule type="dataBar" priority="2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{0AFCEE41-A640-AACD-400F-18F15BB5CCCD}</x14:id>
        </x:ext>
      </x:extLst>
    </x:cfRule>
  </x:conditionalFormatting>
  <x:pageMargins left="0.7" right="0.7" top="0.75" bottom="0.75" header="0.3" footer="0.3"/>
  <x:tableParts count="4">
    <x:tablePart xmlns:r="http://schemas.openxmlformats.org/officeDocument/2006/relationships" r:id="R4d3c051a1d52477f"/>
    <x:tablePart xmlns:r="http://schemas.openxmlformats.org/officeDocument/2006/relationships" r:id="Rbf9584a3f93d4fc7"/>
    <x:tablePart xmlns:r="http://schemas.openxmlformats.org/officeDocument/2006/relationships" r:id="R281711adbd894fdf"/>
    <x:tablePart xmlns:r="http://schemas.openxmlformats.org/officeDocument/2006/relationships" r:id="R4b1f6d1d3e6f4c9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83E95B5-610C-8F42-1367-5D4534EA93C3}">
            <x14:dataBar gradient="1">
              <x14:cfvo type="min"/>
              <x14:cfvo type="max"/>
              <x14:fillColor rgb="FF4F46E5"/>
            </x14:dataBar>
          </x14:cfRule>
          <xm:sqref>B2:B9</xm:sqref>
        </x14:conditionalFormatting>
        <x14:conditionalFormatting>
          <x14:cfRule type="dataBar" priority="2" id="{0AFCEE41-A640-AACD-400F-18F15BB5CCCD}">
            <x14:dataBar gradient="1">
              <x14:cfvo type="min"/>
              <x14:cfvo type="max"/>
              <x14:fillColor rgb="FF16A34A"/>
            </x14:dataBar>
          </x14:cfRule>
          <xm:sqref>C2:C9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2" t="str">
        <x:v>PROYECTO 6 · ANÁLISIS DE VENTAS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4">
      <x:c r="A4" s="58" t="str">
        <x:v>Ventas netas</x:v>
      </x:c>
      <x:c r="B4" s="58"/>
      <x:c r="C4" s="58"/>
      <x:c r="D4" s="58" t="str">
        <x:v>Utilidad</x:v>
      </x:c>
      <x:c r="E4" s="58"/>
      <x:c r="F4" s="58"/>
      <x:c r="G4" s="58" t="str">
        <x:v>Pedidos completados</x:v>
      </x:c>
      <x:c r="H4" s="58"/>
      <x:c r="I4" s="58"/>
      <x:c r="J4" s="58" t="str">
        <x:v>Margen</x:v>
      </x:c>
      <x:c r="K4" s="58"/>
      <x:c r="L4" s="58"/>
    </x:row>
    <x:row r="5">
      <x:c r="A5" s="70" t="n">
        <x:f>SUM(Analisis!B2:B9)</x:f>
        <x:v>4605783.5</x:v>
      </x:c>
      <x:c r="B5" s="70"/>
      <x:c r="C5" s="70"/>
      <x:c r="D5" s="70" t="n">
        <x:f>SUM(Analisis!C2:C9)</x:f>
        <x:v>2352183.5</x:v>
      </x:c>
      <x:c r="E5" s="70"/>
      <x:c r="F5" s="70"/>
      <x:c r="G5" s="72" t="n">
        <x:f>SUM(Analisis!D2:D9)</x:f>
        <x:v>147</x:v>
      </x:c>
      <x:c r="H5" s="72"/>
      <x:c r="I5" s="72"/>
      <x:c r="J5" s="74" t="n">
        <x:f>IF(A5=0,0,D5/A5)</x:f>
        <x:v>0.510702142208812</x:v>
      </x:c>
      <x:c r="K5" s="74"/>
      <x:c r="L5" s="74"/>
    </x:row>
    <x:row r="6">
      <x:c r="A6" s="70"/>
      <x:c r="B6" s="70"/>
      <x:c r="C6" s="70"/>
      <x:c r="D6" s="70"/>
      <x:c r="E6" s="70"/>
      <x:c r="F6" s="70"/>
      <x:c r="G6" s="72"/>
      <x:c r="H6" s="72"/>
      <x:c r="I6" s="72"/>
      <x:c r="J6" s="74"/>
      <x:c r="K6" s="74"/>
      <x:c r="L6" s="74"/>
    </x:row>
    <x:row r="8">
      <x:c r="A8" s="37" t="str">
        <x:v>RESUMEN DEL CASO</x:v>
      </x:c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</x:row>
    <x:row r="9">
      <x:c r="A9" s="78" t="str">
        <x:v>Caso demostrativo de una tienda online ficticia. Se transformaron 180 registros con datos inconsistentes en una base limpia y estructurada, calculando ventas, costos, utilidad y margen para identificar tendencias por mes, categoría, canal y región.</x:v>
      </x:c>
      <x:c r="B9" s="78"/>
      <x:c r="C9" s="78"/>
      <x:c r="D9" s="78"/>
      <x:c r="E9" s="78"/>
      <x:c r="F9" s="78"/>
      <x:c r="G9" s="78"/>
      <x:c r="H9" s="78"/>
      <x:c r="I9" s="78"/>
      <x:c r="J9" s="78"/>
      <x:c r="K9" s="78"/>
      <x:c r="L9" s="78"/>
    </x:row>
    <x:row r="10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</x:row>
    <x:row r="1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</x:row>
  </x:sheetData>
  <x:mergeCells>
    <x:mergeCell ref="A1:L2"/>
    <x:mergeCell ref="A4:C4"/>
    <x:mergeCell ref="D4:F4"/>
    <x:mergeCell ref="G4:I4"/>
    <x:mergeCell ref="J4:L4"/>
    <x:mergeCell ref="A5:C6"/>
    <x:mergeCell ref="D5:F6"/>
    <x:mergeCell ref="G5:I6"/>
    <x:mergeCell ref="J5:L6"/>
    <x:mergeCell ref="A8:L8"/>
    <x:mergeCell ref="A9:L11"/>
  </x:mergeCells>
  <x:pageMargins left="0.7" right="0.7" top="0.75" bottom="0.75" header="0.3" footer="0.3"/>
  <x:drawing xmlns:r="http://schemas.openxmlformats.org/officeDocument/2006/relationships" r:id="R3ebcc4761bd64841"/>
</x:worksheet>
</file>

<file path=xl/worksheets/sheet6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1.25" hidden="0" customWidth="1"/>
    <x:col min="4" max="4" width="11.5" hidden="0" customWidth="1"/>
    <x:col min="5" max="5" width="9.880000114440918" hidden="0" customWidth="1"/>
    <x:col min="7" max="7" width="9.630000114440918" hidden="0" customWidth="1"/>
    <x:col min="8" max="8" width="9.630000114440918" hidden="0" customWidth="1"/>
  </x:cols>
  <x:sheetData>
    <x:row r="1">
      <x:c r="A1" s="5" t="str">
        <x:v>Original</x:v>
      </x:c>
      <x:c r="B1" s="5" t="str">
        <x:v>Estándar</x:v>
      </x:c>
      <x:c r="D1" s="5" t="str">
        <x:v>Original</x:v>
      </x:c>
      <x:c r="E1" s="5" t="str">
        <x:v>Estándar</x:v>
      </x:c>
      <x:c r="G1" s="5" t="str">
        <x:v>Original</x:v>
      </x:c>
      <x:c r="H1" s="5" t="str">
        <x:v>Estándar</x:v>
      </x:c>
    </x:row>
    <x:row r="2">
      <x:c r="A2" t="str">
        <x:v>Metropolitana</x:v>
      </x:c>
      <x:c r="B2" t="str">
        <x:v>Metropolitana</x:v>
      </x:c>
      <x:c r="D2" t="str">
        <x:v>Web</x:v>
      </x:c>
      <x:c r="E2" t="str">
        <x:v>Web</x:v>
      </x:c>
      <x:c r="G2" t="str">
        <x:v>Completado</x:v>
      </x:c>
      <x:c r="H2" t="str">
        <x:v>Completado</x:v>
      </x:c>
    </x:row>
    <x:row r="3">
      <x:c r="A3" t="str">
        <x:v>RM</x:v>
      </x:c>
      <x:c r="B3" t="str">
        <x:v>Metropolitana</x:v>
      </x:c>
      <x:c r="D3" t="str">
        <x:v>WEB</x:v>
      </x:c>
      <x:c r="E3" t="str">
        <x:v>Web</x:v>
      </x:c>
      <x:c r="G3" t="str">
        <x:v>completado</x:v>
      </x:c>
      <x:c r="H3" t="str">
        <x:v>Completado</x:v>
      </x:c>
    </x:row>
    <x:row r="4">
      <x:c r="A4" t="str">
        <x:v>Santiago</x:v>
      </x:c>
      <x:c r="B4" t="str">
        <x:v>Metropolitana</x:v>
      </x:c>
      <x:c r="D4" t="str">
        <x:v>web</x:v>
      </x:c>
      <x:c r="E4" t="str">
        <x:v>Web</x:v>
      </x:c>
      <x:c r="G4" t="str">
        <x:v>OK</x:v>
      </x:c>
      <x:c r="H4" t="str">
        <x:v>Completado</x:v>
      </x:c>
    </x:row>
    <x:row r="5">
      <x:c r="A5" t="str">
        <x:v>Valparaiso</x:v>
      </x:c>
      <x:c r="B5" t="str">
        <x:v>Valparaíso</x:v>
      </x:c>
      <x:c r="D5" t="str">
        <x:v>Instagram</x:v>
      </x:c>
      <x:c r="E5" t="str">
        <x:v>Instagram</x:v>
      </x:c>
      <x:c r="G5" t="str">
        <x:v>Pendiente</x:v>
      </x:c>
      <x:c r="H5" t="str">
        <x:v>Pendiente</x:v>
      </x:c>
    </x:row>
    <x:row r="6">
      <x:c r="A6" t="str">
        <x:v>Valparaíso</x:v>
      </x:c>
      <x:c r="B6" t="str">
        <x:v>Valparaíso</x:v>
      </x:c>
      <x:c r="D6" t="str">
        <x:v>IG</x:v>
      </x:c>
      <x:c r="E6" t="str">
        <x:v>Instagram</x:v>
      </x:c>
      <x:c r="G6" t="str">
        <x:v>pend.</x:v>
      </x:c>
      <x:c r="H6" t="str">
        <x:v>Pendiente</x:v>
      </x:c>
    </x:row>
    <x:row r="7">
      <x:c r="A7" t="str">
        <x:v>V Region</x:v>
      </x:c>
      <x:c r="B7" t="str">
        <x:v>Valparaíso</x:v>
      </x:c>
      <x:c r="D7" t="str">
        <x:v>instagram</x:v>
      </x:c>
      <x:c r="E7" t="str">
        <x:v>Instagram</x:v>
      </x:c>
      <x:c r="G7" t="str">
        <x:v>PENDIENTE</x:v>
      </x:c>
      <x:c r="H7" t="str">
        <x:v>Pendiente</x:v>
      </x:c>
    </x:row>
    <x:row r="8">
      <x:c r="A8" t="str">
        <x:v>Biobio</x:v>
      </x:c>
      <x:c r="B8" t="str">
        <x:v>Biobío</x:v>
      </x:c>
      <x:c r="D8" t="str">
        <x:v>Marketplace</x:v>
      </x:c>
      <x:c r="E8" t="str">
        <x:v>Marketplace</x:v>
      </x:c>
      <x:c r="G8" t="str">
        <x:v>Cancelado</x:v>
      </x:c>
      <x:c r="H8" t="str">
        <x:v>Cancelado</x:v>
      </x:c>
    </x:row>
    <x:row r="9">
      <x:c r="A9" t="str">
        <x:v>Biobío</x:v>
      </x:c>
      <x:c r="B9" t="str">
        <x:v>Biobío</x:v>
      </x:c>
      <x:c r="D9" t="str">
        <x:v>market place</x:v>
      </x:c>
      <x:c r="E9" t="str">
        <x:v>Marketplace</x:v>
      </x:c>
      <x:c r="G9" t="str">
        <x:v>cancelado</x:v>
      </x:c>
      <x:c r="H9" t="str">
        <x:v>Cancelado</x:v>
      </x:c>
    </x:row>
    <x:row r="10">
      <x:c r="A10" t="str">
        <x:v>VIII Region</x:v>
      </x:c>
      <x:c r="B10" t="str">
        <x:v>Biobío</x:v>
      </x:c>
      <x:c r="D10" t="str">
        <x:v>MARKETPLACE</x:v>
      </x:c>
      <x:c r="E10" t="str">
        <x:v>Marketplace</x:v>
      </x:c>
      <x:c r="G10" t="str">
        <x:v>CANCEL</x:v>
      </x:c>
      <x:c r="H10" t="str">
        <x:v>Cancelado</x:v>
      </x:c>
    </x:row>
    <x:row r="11">
      <x:c r="A11" t="str">
        <x:v>Maule</x:v>
      </x:c>
      <x:c r="B11" t="str">
        <x:v>Maule</x:v>
      </x:c>
    </x:row>
    <x:row r="12">
      <x:c r="A12" t="str">
        <x:v>VII Region</x:v>
      </x:c>
      <x:c r="B12" t="str">
        <x:v>Maule</x:v>
      </x:c>
    </x:row>
    <x:row r="13">
      <x:c r="A13" t="str">
        <x:v>Región del Maule</x:v>
      </x:c>
      <x:c r="B13" t="str">
        <x:v>Maule</x:v>
      </x:c>
    </x:row>
  </x:sheetData>
  <x:pageMargins left="0.7" right="0.7" top="0.75" bottom="0.75" header="0.3" footer="0.3"/>
</x:worksheet>
</file>